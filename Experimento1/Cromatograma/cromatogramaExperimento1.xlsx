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wnloads\Experimentos Biodiesel\ExperimentosData\Experimento1\Resultados de Cromatograma\"/>
    </mc:Choice>
  </mc:AlternateContent>
  <xr:revisionPtr revIDLastSave="0" documentId="13_ncr:1_{CFD1CF38-3E2F-423D-AAAD-487D86E301BD}" xr6:coauthVersionLast="47" xr6:coauthVersionMax="47" xr10:uidLastSave="{00000000-0000-0000-0000-000000000000}"/>
  <bookViews>
    <workbookView xWindow="-108" yWindow="-108" windowWidth="23256" windowHeight="12456" activeTab="5" xr2:uid="{A3B41442-C22F-4EB9-B73B-662881E5D8B0}"/>
  </bookViews>
  <sheets>
    <sheet name="12.1" sheetId="1" r:id="rId1"/>
    <sheet name="9.1" sheetId="2" r:id="rId2"/>
    <sheet name="6.1" sheetId="3" r:id="rId3"/>
    <sheet name="5.1" sheetId="4" r:id="rId4"/>
    <sheet name="3.1" sheetId="5" r:id="rId5"/>
    <sheet name="2.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6" l="1"/>
  <c r="S8" i="6" s="1"/>
  <c r="J6" i="6"/>
  <c r="S5" i="6"/>
  <c r="S3" i="6"/>
  <c r="J3" i="6"/>
  <c r="S2" i="6"/>
  <c r="J2" i="6"/>
  <c r="J9" i="6" s="1"/>
  <c r="J10" i="6" s="1"/>
  <c r="J12" i="6" s="1"/>
  <c r="J9" i="5"/>
  <c r="J10" i="5" s="1"/>
  <c r="J6" i="5"/>
  <c r="J3" i="5"/>
  <c r="J2" i="5"/>
  <c r="J9" i="4"/>
  <c r="J10" i="4" s="1"/>
  <c r="J6" i="4"/>
  <c r="J3" i="4"/>
  <c r="J2" i="4"/>
  <c r="J6" i="3"/>
  <c r="J3" i="3"/>
  <c r="J2" i="3"/>
  <c r="J9" i="3" s="1"/>
  <c r="J10" i="3" s="1"/>
  <c r="J12" i="3" s="1"/>
  <c r="J6" i="2"/>
  <c r="J3" i="2"/>
  <c r="J2" i="2"/>
  <c r="R16" i="1"/>
  <c r="S9" i="1"/>
  <c r="S10" i="1" s="1"/>
  <c r="S12" i="1" s="1"/>
  <c r="S6" i="1"/>
  <c r="J6" i="1"/>
  <c r="S3" i="1"/>
  <c r="J3" i="1"/>
  <c r="S2" i="1"/>
  <c r="J2" i="1"/>
  <c r="J9" i="1" s="1"/>
  <c r="J10" i="1" s="1"/>
  <c r="J12" i="1" s="1"/>
  <c r="J12" i="5" l="1"/>
  <c r="J12" i="4"/>
  <c r="J9" i="2"/>
  <c r="J10" i="2" s="1"/>
  <c r="J12" i="2" s="1"/>
</calcChain>
</file>

<file path=xl/sharedStrings.xml><?xml version="1.0" encoding="utf-8"?>
<sst xmlns="http://schemas.openxmlformats.org/spreadsheetml/2006/main" count="567" uniqueCount="39">
  <si>
    <t>Index</t>
  </si>
  <si>
    <t>Name</t>
  </si>
  <si>
    <t>Time</t>
  </si>
  <si>
    <t>Quantity</t>
  </si>
  <si>
    <t>Height</t>
  </si>
  <si>
    <t>Area</t>
  </si>
  <si>
    <t>Area %</t>
  </si>
  <si>
    <t/>
  </si>
  <si>
    <t>[Min]</t>
  </si>
  <si>
    <t>[% Area]</t>
  </si>
  <si>
    <t>[µV]</t>
  </si>
  <si>
    <t>[µV.Min]</t>
  </si>
  <si>
    <t>[%]</t>
  </si>
  <si>
    <t>Area heptano (µV.Min)</t>
  </si>
  <si>
    <t>UNKNOWN_2</t>
  </si>
  <si>
    <t>Area SI (µV.Min)</t>
  </si>
  <si>
    <t>UNKNOWN_4</t>
  </si>
  <si>
    <t>Peso SI (mg)</t>
  </si>
  <si>
    <t>UNKNOWN</t>
  </si>
  <si>
    <t>Volumen total SI (mL)</t>
  </si>
  <si>
    <t>UNKNOWN_6</t>
  </si>
  <si>
    <t>Conc SI (mg/ml)</t>
  </si>
  <si>
    <t>Vol SI alicuota (mL)</t>
  </si>
  <si>
    <t>Peso muestra (mg)</t>
  </si>
  <si>
    <t>Area FAMES</t>
  </si>
  <si>
    <t>% FAMEs</t>
  </si>
  <si>
    <t>UNKNOWN_7</t>
  </si>
  <si>
    <t>R</t>
  </si>
  <si>
    <t>UNKNOWN_8</t>
  </si>
  <si>
    <t>UNKNOWN_9</t>
  </si>
  <si>
    <t>UNKNOWN_10</t>
  </si>
  <si>
    <t>UNKNOWN_11</t>
  </si>
  <si>
    <t>UNKNOWN_12</t>
  </si>
  <si>
    <t>UNKNOWN_13</t>
  </si>
  <si>
    <t>UNKNOWN_1</t>
  </si>
  <si>
    <t>UNKNOWN_14</t>
  </si>
  <si>
    <t>Total</t>
  </si>
  <si>
    <t>-</t>
  </si>
  <si>
    <t>Volumen heptano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</si>
</sst>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4">
    <xf numFmtId="0" fontId="0" fillId="0" borderId="0" xfId="0"/>
    <xf numFmtId="0" fontId="0" fillId="2" borderId="0" xfId="0" applyFill="1"/>
    <xf numFmtId="10" fontId="1" fillId="0" borderId="0" xfId="1" applyNumberFormat="1"/>
    <xf numFmtId="2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8192-74BE-4001-8D75-FEADAA5937B9}">
  <dimension ref="A1:S57"/>
  <sheetViews>
    <sheetView showZeros="0" topLeftCell="O1" workbookViewId="0">
      <selection activeCell="S11" sqref="S11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8" max="18" width="19.5546875" bestFit="1" customWidth="1"/>
    <col min="265" max="265" width="19.5546875" bestFit="1" customWidth="1"/>
    <col min="274" max="274" width="19.5546875" bestFit="1" customWidth="1"/>
    <col min="521" max="521" width="19.5546875" bestFit="1" customWidth="1"/>
    <col min="530" max="530" width="19.5546875" bestFit="1" customWidth="1"/>
    <col min="777" max="777" width="19.5546875" bestFit="1" customWidth="1"/>
    <col min="786" max="786" width="19.5546875" bestFit="1" customWidth="1"/>
    <col min="1033" max="1033" width="19.5546875" bestFit="1" customWidth="1"/>
    <col min="1042" max="1042" width="19.5546875" bestFit="1" customWidth="1"/>
    <col min="1289" max="1289" width="19.5546875" bestFit="1" customWidth="1"/>
    <col min="1298" max="1298" width="19.5546875" bestFit="1" customWidth="1"/>
    <col min="1545" max="1545" width="19.5546875" bestFit="1" customWidth="1"/>
    <col min="1554" max="1554" width="19.5546875" bestFit="1" customWidth="1"/>
    <col min="1801" max="1801" width="19.5546875" bestFit="1" customWidth="1"/>
    <col min="1810" max="1810" width="19.5546875" bestFit="1" customWidth="1"/>
    <col min="2057" max="2057" width="19.5546875" bestFit="1" customWidth="1"/>
    <col min="2066" max="2066" width="19.5546875" bestFit="1" customWidth="1"/>
    <col min="2313" max="2313" width="19.5546875" bestFit="1" customWidth="1"/>
    <col min="2322" max="2322" width="19.5546875" bestFit="1" customWidth="1"/>
    <col min="2569" max="2569" width="19.5546875" bestFit="1" customWidth="1"/>
    <col min="2578" max="2578" width="19.5546875" bestFit="1" customWidth="1"/>
    <col min="2825" max="2825" width="19.5546875" bestFit="1" customWidth="1"/>
    <col min="2834" max="2834" width="19.5546875" bestFit="1" customWidth="1"/>
    <col min="3081" max="3081" width="19.5546875" bestFit="1" customWidth="1"/>
    <col min="3090" max="3090" width="19.5546875" bestFit="1" customWidth="1"/>
    <col min="3337" max="3337" width="19.5546875" bestFit="1" customWidth="1"/>
    <col min="3346" max="3346" width="19.5546875" bestFit="1" customWidth="1"/>
    <col min="3593" max="3593" width="19.5546875" bestFit="1" customWidth="1"/>
    <col min="3602" max="3602" width="19.5546875" bestFit="1" customWidth="1"/>
    <col min="3849" max="3849" width="19.5546875" bestFit="1" customWidth="1"/>
    <col min="3858" max="3858" width="19.5546875" bestFit="1" customWidth="1"/>
    <col min="4105" max="4105" width="19.5546875" bestFit="1" customWidth="1"/>
    <col min="4114" max="4114" width="19.5546875" bestFit="1" customWidth="1"/>
    <col min="4361" max="4361" width="19.5546875" bestFit="1" customWidth="1"/>
    <col min="4370" max="4370" width="19.5546875" bestFit="1" customWidth="1"/>
    <col min="4617" max="4617" width="19.5546875" bestFit="1" customWidth="1"/>
    <col min="4626" max="4626" width="19.5546875" bestFit="1" customWidth="1"/>
    <col min="4873" max="4873" width="19.5546875" bestFit="1" customWidth="1"/>
    <col min="4882" max="4882" width="19.5546875" bestFit="1" customWidth="1"/>
    <col min="5129" max="5129" width="19.5546875" bestFit="1" customWidth="1"/>
    <col min="5138" max="5138" width="19.5546875" bestFit="1" customWidth="1"/>
    <col min="5385" max="5385" width="19.5546875" bestFit="1" customWidth="1"/>
    <col min="5394" max="5394" width="19.5546875" bestFit="1" customWidth="1"/>
    <col min="5641" max="5641" width="19.5546875" bestFit="1" customWidth="1"/>
    <col min="5650" max="5650" width="19.5546875" bestFit="1" customWidth="1"/>
    <col min="5897" max="5897" width="19.5546875" bestFit="1" customWidth="1"/>
    <col min="5906" max="5906" width="19.5546875" bestFit="1" customWidth="1"/>
    <col min="6153" max="6153" width="19.5546875" bestFit="1" customWidth="1"/>
    <col min="6162" max="6162" width="19.5546875" bestFit="1" customWidth="1"/>
    <col min="6409" max="6409" width="19.5546875" bestFit="1" customWidth="1"/>
    <col min="6418" max="6418" width="19.5546875" bestFit="1" customWidth="1"/>
    <col min="6665" max="6665" width="19.5546875" bestFit="1" customWidth="1"/>
    <col min="6674" max="6674" width="19.5546875" bestFit="1" customWidth="1"/>
    <col min="6921" max="6921" width="19.5546875" bestFit="1" customWidth="1"/>
    <col min="6930" max="6930" width="19.5546875" bestFit="1" customWidth="1"/>
    <col min="7177" max="7177" width="19.5546875" bestFit="1" customWidth="1"/>
    <col min="7186" max="7186" width="19.5546875" bestFit="1" customWidth="1"/>
    <col min="7433" max="7433" width="19.5546875" bestFit="1" customWidth="1"/>
    <col min="7442" max="7442" width="19.5546875" bestFit="1" customWidth="1"/>
    <col min="7689" max="7689" width="19.5546875" bestFit="1" customWidth="1"/>
    <col min="7698" max="7698" width="19.5546875" bestFit="1" customWidth="1"/>
    <col min="7945" max="7945" width="19.5546875" bestFit="1" customWidth="1"/>
    <col min="7954" max="7954" width="19.5546875" bestFit="1" customWidth="1"/>
    <col min="8201" max="8201" width="19.5546875" bestFit="1" customWidth="1"/>
    <col min="8210" max="8210" width="19.5546875" bestFit="1" customWidth="1"/>
    <col min="8457" max="8457" width="19.5546875" bestFit="1" customWidth="1"/>
    <col min="8466" max="8466" width="19.5546875" bestFit="1" customWidth="1"/>
    <col min="8713" max="8713" width="19.5546875" bestFit="1" customWidth="1"/>
    <col min="8722" max="8722" width="19.5546875" bestFit="1" customWidth="1"/>
    <col min="8969" max="8969" width="19.5546875" bestFit="1" customWidth="1"/>
    <col min="8978" max="8978" width="19.5546875" bestFit="1" customWidth="1"/>
    <col min="9225" max="9225" width="19.5546875" bestFit="1" customWidth="1"/>
    <col min="9234" max="9234" width="19.5546875" bestFit="1" customWidth="1"/>
    <col min="9481" max="9481" width="19.5546875" bestFit="1" customWidth="1"/>
    <col min="9490" max="9490" width="19.5546875" bestFit="1" customWidth="1"/>
    <col min="9737" max="9737" width="19.5546875" bestFit="1" customWidth="1"/>
    <col min="9746" max="9746" width="19.5546875" bestFit="1" customWidth="1"/>
    <col min="9993" max="9993" width="19.5546875" bestFit="1" customWidth="1"/>
    <col min="10002" max="10002" width="19.5546875" bestFit="1" customWidth="1"/>
    <col min="10249" max="10249" width="19.5546875" bestFit="1" customWidth="1"/>
    <col min="10258" max="10258" width="19.5546875" bestFit="1" customWidth="1"/>
    <col min="10505" max="10505" width="19.5546875" bestFit="1" customWidth="1"/>
    <col min="10514" max="10514" width="19.5546875" bestFit="1" customWidth="1"/>
    <col min="10761" max="10761" width="19.5546875" bestFit="1" customWidth="1"/>
    <col min="10770" max="10770" width="19.5546875" bestFit="1" customWidth="1"/>
    <col min="11017" max="11017" width="19.5546875" bestFit="1" customWidth="1"/>
    <col min="11026" max="11026" width="19.5546875" bestFit="1" customWidth="1"/>
    <col min="11273" max="11273" width="19.5546875" bestFit="1" customWidth="1"/>
    <col min="11282" max="11282" width="19.5546875" bestFit="1" customWidth="1"/>
    <col min="11529" max="11529" width="19.5546875" bestFit="1" customWidth="1"/>
    <col min="11538" max="11538" width="19.5546875" bestFit="1" customWidth="1"/>
    <col min="11785" max="11785" width="19.5546875" bestFit="1" customWidth="1"/>
    <col min="11794" max="11794" width="19.5546875" bestFit="1" customWidth="1"/>
    <col min="12041" max="12041" width="19.5546875" bestFit="1" customWidth="1"/>
    <col min="12050" max="12050" width="19.5546875" bestFit="1" customWidth="1"/>
    <col min="12297" max="12297" width="19.5546875" bestFit="1" customWidth="1"/>
    <col min="12306" max="12306" width="19.5546875" bestFit="1" customWidth="1"/>
    <col min="12553" max="12553" width="19.5546875" bestFit="1" customWidth="1"/>
    <col min="12562" max="12562" width="19.5546875" bestFit="1" customWidth="1"/>
    <col min="12809" max="12809" width="19.5546875" bestFit="1" customWidth="1"/>
    <col min="12818" max="12818" width="19.5546875" bestFit="1" customWidth="1"/>
    <col min="13065" max="13065" width="19.5546875" bestFit="1" customWidth="1"/>
    <col min="13074" max="13074" width="19.5546875" bestFit="1" customWidth="1"/>
    <col min="13321" max="13321" width="19.5546875" bestFit="1" customWidth="1"/>
    <col min="13330" max="13330" width="19.5546875" bestFit="1" customWidth="1"/>
    <col min="13577" max="13577" width="19.5546875" bestFit="1" customWidth="1"/>
    <col min="13586" max="13586" width="19.5546875" bestFit="1" customWidth="1"/>
    <col min="13833" max="13833" width="19.5546875" bestFit="1" customWidth="1"/>
    <col min="13842" max="13842" width="19.5546875" bestFit="1" customWidth="1"/>
    <col min="14089" max="14089" width="19.5546875" bestFit="1" customWidth="1"/>
    <col min="14098" max="14098" width="19.5546875" bestFit="1" customWidth="1"/>
    <col min="14345" max="14345" width="19.5546875" bestFit="1" customWidth="1"/>
    <col min="14354" max="14354" width="19.5546875" bestFit="1" customWidth="1"/>
    <col min="14601" max="14601" width="19.5546875" bestFit="1" customWidth="1"/>
    <col min="14610" max="14610" width="19.5546875" bestFit="1" customWidth="1"/>
    <col min="14857" max="14857" width="19.5546875" bestFit="1" customWidth="1"/>
    <col min="14866" max="14866" width="19.5546875" bestFit="1" customWidth="1"/>
    <col min="15113" max="15113" width="19.5546875" bestFit="1" customWidth="1"/>
    <col min="15122" max="15122" width="19.5546875" bestFit="1" customWidth="1"/>
    <col min="15369" max="15369" width="19.5546875" bestFit="1" customWidth="1"/>
    <col min="15378" max="15378" width="19.5546875" bestFit="1" customWidth="1"/>
    <col min="15625" max="15625" width="19.5546875" bestFit="1" customWidth="1"/>
    <col min="15634" max="15634" width="19.5546875" bestFit="1" customWidth="1"/>
    <col min="15881" max="15881" width="19.5546875" bestFit="1" customWidth="1"/>
    <col min="15890" max="15890" width="19.5546875" bestFit="1" customWidth="1"/>
    <col min="16137" max="16137" width="19.5546875" bestFit="1" customWidth="1"/>
    <col min="16146" max="16146" width="19.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9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2378179.9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  <c r="S2">
        <f>O3</f>
        <v>2378179.9</v>
      </c>
    </row>
    <row r="3" spans="1:19" x14ac:dyDescent="0.25">
      <c r="A3">
        <v>1</v>
      </c>
      <c r="B3" t="s">
        <v>14</v>
      </c>
      <c r="C3">
        <v>0.96</v>
      </c>
      <c r="D3">
        <v>56.69</v>
      </c>
      <c r="E3">
        <v>326032039.69999999</v>
      </c>
      <c r="F3">
        <v>2378179.9</v>
      </c>
      <c r="G3">
        <v>56.692999999999998</v>
      </c>
      <c r="I3" t="s">
        <v>15</v>
      </c>
      <c r="J3" s="1">
        <f>F16+F43+F44+F45+F46+F47+F48</f>
        <v>65854.100000000006</v>
      </c>
      <c r="L3">
        <v>0.96</v>
      </c>
      <c r="M3">
        <v>56.69</v>
      </c>
      <c r="N3">
        <v>326032039.69999999</v>
      </c>
      <c r="O3">
        <v>2378179.9</v>
      </c>
      <c r="P3">
        <v>56.692999999999998</v>
      </c>
      <c r="R3" t="s">
        <v>15</v>
      </c>
      <c r="S3" s="1">
        <f>O16+O43+O44+O45+O46+O47+O48</f>
        <v>65854.100000000006</v>
      </c>
    </row>
    <row r="4" spans="1:19" x14ac:dyDescent="0.25">
      <c r="A4">
        <v>2</v>
      </c>
      <c r="B4" t="s">
        <v>16</v>
      </c>
      <c r="C4">
        <v>2.2799999999999998</v>
      </c>
      <c r="D4">
        <v>0.01</v>
      </c>
      <c r="E4">
        <v>1932.5</v>
      </c>
      <c r="F4">
        <v>540.70000000000005</v>
      </c>
      <c r="G4">
        <v>1.2999999999999999E-2</v>
      </c>
      <c r="I4" t="s">
        <v>17</v>
      </c>
      <c r="J4">
        <v>103.8</v>
      </c>
      <c r="L4">
        <v>2.2799999999999998</v>
      </c>
      <c r="M4">
        <v>0.01</v>
      </c>
      <c r="N4">
        <v>1932.5</v>
      </c>
      <c r="O4">
        <v>540.70000000000005</v>
      </c>
      <c r="P4">
        <v>1.2999999999999999E-2</v>
      </c>
      <c r="R4" t="s">
        <v>17</v>
      </c>
      <c r="S4">
        <v>103.8</v>
      </c>
    </row>
    <row r="5" spans="1:19" x14ac:dyDescent="0.25">
      <c r="A5">
        <v>3</v>
      </c>
      <c r="B5" t="s">
        <v>18</v>
      </c>
      <c r="C5">
        <v>4.95</v>
      </c>
      <c r="D5">
        <v>0</v>
      </c>
      <c r="E5">
        <v>1042.8</v>
      </c>
      <c r="F5">
        <v>194.2</v>
      </c>
      <c r="G5">
        <v>5.0000000000000001E-3</v>
      </c>
      <c r="I5" t="s">
        <v>19</v>
      </c>
      <c r="J5">
        <v>10</v>
      </c>
      <c r="L5">
        <v>4.95</v>
      </c>
      <c r="M5">
        <v>0</v>
      </c>
      <c r="N5">
        <v>1042.8</v>
      </c>
      <c r="O5">
        <v>194.2</v>
      </c>
      <c r="P5">
        <v>5.0000000000000001E-3</v>
      </c>
      <c r="R5" t="s">
        <v>19</v>
      </c>
      <c r="S5">
        <v>10</v>
      </c>
    </row>
    <row r="6" spans="1:19" x14ac:dyDescent="0.25">
      <c r="A6">
        <v>4</v>
      </c>
      <c r="B6" t="s">
        <v>20</v>
      </c>
      <c r="C6">
        <v>5.92</v>
      </c>
      <c r="D6">
        <v>0.01</v>
      </c>
      <c r="E6">
        <v>5050.3999999999996</v>
      </c>
      <c r="F6">
        <v>511</v>
      </c>
      <c r="G6">
        <v>1.2E-2</v>
      </c>
      <c r="I6" t="s">
        <v>21</v>
      </c>
      <c r="J6">
        <f>J4/J5</f>
        <v>10.379999999999999</v>
      </c>
      <c r="L6">
        <v>5.92</v>
      </c>
      <c r="M6">
        <v>0.01</v>
      </c>
      <c r="N6">
        <v>5050.3999999999996</v>
      </c>
      <c r="O6">
        <v>511</v>
      </c>
      <c r="P6">
        <v>1.2E-2</v>
      </c>
      <c r="R6" t="s">
        <v>21</v>
      </c>
      <c r="S6">
        <f>S4/S5</f>
        <v>10.379999999999999</v>
      </c>
    </row>
    <row r="7" spans="1:19" x14ac:dyDescent="0.25">
      <c r="A7">
        <v>5</v>
      </c>
      <c r="B7" t="s">
        <v>18</v>
      </c>
      <c r="C7">
        <v>6.16</v>
      </c>
      <c r="D7">
        <v>0</v>
      </c>
      <c r="E7">
        <v>736.8</v>
      </c>
      <c r="F7">
        <v>58.1</v>
      </c>
      <c r="G7">
        <v>1E-3</v>
      </c>
      <c r="I7" t="s">
        <v>22</v>
      </c>
      <c r="J7">
        <v>1</v>
      </c>
      <c r="L7">
        <v>6.16</v>
      </c>
      <c r="M7">
        <v>0</v>
      </c>
      <c r="N7">
        <v>736.8</v>
      </c>
      <c r="O7">
        <v>58.1</v>
      </c>
      <c r="P7">
        <v>1E-3</v>
      </c>
      <c r="R7" t="s">
        <v>22</v>
      </c>
      <c r="S7">
        <v>1</v>
      </c>
    </row>
    <row r="8" spans="1:19" x14ac:dyDescent="0.25">
      <c r="A8">
        <v>6</v>
      </c>
      <c r="B8" t="s">
        <v>18</v>
      </c>
      <c r="C8">
        <v>6.44</v>
      </c>
      <c r="D8">
        <v>0</v>
      </c>
      <c r="E8">
        <v>264.5</v>
      </c>
      <c r="F8">
        <v>23.6</v>
      </c>
      <c r="G8">
        <v>1E-3</v>
      </c>
      <c r="I8" t="s">
        <v>23</v>
      </c>
      <c r="J8">
        <v>243.7</v>
      </c>
      <c r="L8">
        <v>6.44</v>
      </c>
      <c r="M8">
        <v>0</v>
      </c>
      <c r="N8">
        <v>264.5</v>
      </c>
      <c r="O8">
        <v>23.6</v>
      </c>
      <c r="P8">
        <v>1E-3</v>
      </c>
      <c r="R8" t="s">
        <v>23</v>
      </c>
      <c r="S8">
        <v>243.7</v>
      </c>
    </row>
    <row r="9" spans="1:19" x14ac:dyDescent="0.25">
      <c r="A9">
        <v>7</v>
      </c>
      <c r="B9" t="s">
        <v>18</v>
      </c>
      <c r="C9">
        <v>6.58</v>
      </c>
      <c r="D9">
        <v>0.06</v>
      </c>
      <c r="E9">
        <v>39325.800000000003</v>
      </c>
      <c r="F9">
        <v>2670.1</v>
      </c>
      <c r="G9">
        <v>6.4000000000000001E-2</v>
      </c>
      <c r="I9" t="s">
        <v>24</v>
      </c>
      <c r="J9">
        <f>F57-J2-J3</f>
        <v>1750818.5999999996</v>
      </c>
      <c r="L9">
        <v>6.58</v>
      </c>
      <c r="M9">
        <v>0.06</v>
      </c>
      <c r="N9">
        <v>39325.800000000003</v>
      </c>
      <c r="O9">
        <v>2670.1</v>
      </c>
      <c r="P9">
        <v>6.4000000000000001E-2</v>
      </c>
      <c r="R9" t="s">
        <v>24</v>
      </c>
      <c r="S9">
        <f>SUM(O17:O55)+O43+O44+O45+O46+O47+O48</f>
        <v>1624792.2999999998</v>
      </c>
    </row>
    <row r="10" spans="1:19" x14ac:dyDescent="0.25">
      <c r="A10">
        <v>32</v>
      </c>
      <c r="B10" t="s">
        <v>18</v>
      </c>
      <c r="C10">
        <v>6.73</v>
      </c>
      <c r="D10">
        <v>0</v>
      </c>
      <c r="E10">
        <v>3870.2</v>
      </c>
      <c r="F10">
        <v>205.4</v>
      </c>
      <c r="G10">
        <v>5.0000000000000001E-3</v>
      </c>
      <c r="I10" t="s">
        <v>25</v>
      </c>
      <c r="J10" s="2">
        <f>(J9/J3)*(J6/J8)</f>
        <v>1.1324007732673154</v>
      </c>
      <c r="L10">
        <v>6.73</v>
      </c>
      <c r="M10">
        <v>0</v>
      </c>
      <c r="N10">
        <v>3870.2</v>
      </c>
      <c r="O10">
        <v>205.4</v>
      </c>
      <c r="P10">
        <v>5.0000000000000001E-3</v>
      </c>
      <c r="R10" t="s">
        <v>25</v>
      </c>
      <c r="S10" s="2">
        <f>(S9/S3)*(S6/S8)</f>
        <v>1.0508890280916481</v>
      </c>
    </row>
    <row r="11" spans="1:19" x14ac:dyDescent="0.25">
      <c r="A11">
        <v>8</v>
      </c>
      <c r="B11" t="s">
        <v>26</v>
      </c>
      <c r="C11">
        <v>6.86</v>
      </c>
      <c r="D11">
        <v>0.01</v>
      </c>
      <c r="E11">
        <v>10862.6</v>
      </c>
      <c r="F11">
        <v>547.79999999999995</v>
      </c>
      <c r="G11">
        <v>1.2999999999999999E-2</v>
      </c>
      <c r="I11" t="s">
        <v>27</v>
      </c>
      <c r="J11">
        <v>0.72905683521573805</v>
      </c>
      <c r="L11">
        <v>6.86</v>
      </c>
      <c r="M11">
        <v>0.01</v>
      </c>
      <c r="N11">
        <v>10862.6</v>
      </c>
      <c r="O11">
        <v>547.79999999999995</v>
      </c>
      <c r="P11">
        <v>1.2999999999999999E-2</v>
      </c>
      <c r="R11" t="s">
        <v>27</v>
      </c>
      <c r="S11">
        <v>0.72905683521573805</v>
      </c>
    </row>
    <row r="12" spans="1:19" x14ac:dyDescent="0.25">
      <c r="A12">
        <v>9</v>
      </c>
      <c r="B12" t="s">
        <v>28</v>
      </c>
      <c r="C12">
        <v>6.95</v>
      </c>
      <c r="D12">
        <v>0.02</v>
      </c>
      <c r="E12">
        <v>14661.3</v>
      </c>
      <c r="F12">
        <v>802.6</v>
      </c>
      <c r="G12">
        <v>1.9E-2</v>
      </c>
      <c r="J12" s="2">
        <f>J10*J11</f>
        <v>0.82558452395412352</v>
      </c>
      <c r="L12">
        <v>6.95</v>
      </c>
      <c r="M12">
        <v>0.02</v>
      </c>
      <c r="N12">
        <v>14661.3</v>
      </c>
      <c r="O12">
        <v>802.6</v>
      </c>
      <c r="P12">
        <v>1.9E-2</v>
      </c>
      <c r="S12" s="2">
        <f>S10*S11</f>
        <v>0.76615782898343976</v>
      </c>
    </row>
    <row r="13" spans="1:19" x14ac:dyDescent="0.25">
      <c r="A13">
        <v>33</v>
      </c>
      <c r="B13" t="s">
        <v>18</v>
      </c>
      <c r="C13">
        <v>7.06</v>
      </c>
      <c r="D13">
        <v>3.44</v>
      </c>
      <c r="E13">
        <v>1030089.5</v>
      </c>
      <c r="F13">
        <v>144106.9</v>
      </c>
      <c r="G13">
        <v>3.4350000000000001</v>
      </c>
      <c r="L13">
        <v>7.06</v>
      </c>
      <c r="M13">
        <v>3.44</v>
      </c>
      <c r="N13">
        <v>1030089.5</v>
      </c>
      <c r="O13">
        <v>144106.9</v>
      </c>
      <c r="P13">
        <v>3.4350000000000001</v>
      </c>
    </row>
    <row r="14" spans="1:19" x14ac:dyDescent="0.25">
      <c r="A14">
        <v>42</v>
      </c>
      <c r="B14" t="s">
        <v>18</v>
      </c>
      <c r="C14">
        <v>7.39</v>
      </c>
      <c r="D14">
        <v>0.15</v>
      </c>
      <c r="E14">
        <v>111934.5</v>
      </c>
      <c r="F14">
        <v>6219.6</v>
      </c>
      <c r="G14">
        <v>0.14799999999999999</v>
      </c>
      <c r="L14">
        <v>7.39</v>
      </c>
      <c r="M14">
        <v>0.15</v>
      </c>
      <c r="N14">
        <v>111934.5</v>
      </c>
      <c r="O14">
        <v>6219.6</v>
      </c>
      <c r="P14">
        <v>0.14799999999999999</v>
      </c>
    </row>
    <row r="15" spans="1:19" x14ac:dyDescent="0.25">
      <c r="A15">
        <v>10</v>
      </c>
      <c r="B15" t="s">
        <v>18</v>
      </c>
      <c r="C15">
        <v>7.47</v>
      </c>
      <c r="D15">
        <v>0.02</v>
      </c>
      <c r="E15">
        <v>47934.1</v>
      </c>
      <c r="F15">
        <v>878.8</v>
      </c>
      <c r="G15">
        <v>2.1000000000000001E-2</v>
      </c>
      <c r="L15">
        <v>7.47</v>
      </c>
      <c r="M15">
        <v>0.02</v>
      </c>
      <c r="N15">
        <v>47934.1</v>
      </c>
      <c r="O15">
        <v>878.8</v>
      </c>
      <c r="P15">
        <v>2.1000000000000001E-2</v>
      </c>
    </row>
    <row r="16" spans="1:19" x14ac:dyDescent="0.25">
      <c r="A16">
        <v>34</v>
      </c>
      <c r="B16" t="s">
        <v>18</v>
      </c>
      <c r="C16">
        <v>7.5</v>
      </c>
      <c r="D16">
        <v>1.2</v>
      </c>
      <c r="E16">
        <v>489427.4</v>
      </c>
      <c r="F16">
        <v>50487.8</v>
      </c>
      <c r="G16">
        <v>1.204</v>
      </c>
      <c r="L16">
        <v>7.5</v>
      </c>
      <c r="M16">
        <v>1.2</v>
      </c>
      <c r="N16">
        <v>489427.4</v>
      </c>
      <c r="O16">
        <v>50487.8</v>
      </c>
      <c r="P16">
        <v>1.204</v>
      </c>
      <c r="R16">
        <f>100-P3-P16-P43-P44-P45-P46-P47-P48</f>
        <v>41.736000000000004</v>
      </c>
    </row>
    <row r="17" spans="1:16" x14ac:dyDescent="0.25">
      <c r="A17">
        <v>49</v>
      </c>
      <c r="B17" t="s">
        <v>29</v>
      </c>
      <c r="C17">
        <v>7.71</v>
      </c>
      <c r="D17">
        <v>0.64</v>
      </c>
      <c r="E17">
        <v>476131.4</v>
      </c>
      <c r="F17">
        <v>26668.3</v>
      </c>
      <c r="G17">
        <v>0.63600000000000001</v>
      </c>
      <c r="L17">
        <v>7.71</v>
      </c>
      <c r="M17">
        <v>0.64</v>
      </c>
      <c r="N17">
        <v>476131.4</v>
      </c>
      <c r="O17">
        <v>26668.3</v>
      </c>
      <c r="P17">
        <v>0.63600000000000001</v>
      </c>
    </row>
    <row r="18" spans="1:16" x14ac:dyDescent="0.25">
      <c r="A18">
        <v>43</v>
      </c>
      <c r="B18" t="s">
        <v>18</v>
      </c>
      <c r="C18">
        <v>7.75</v>
      </c>
      <c r="D18">
        <v>0.09</v>
      </c>
      <c r="E18">
        <v>478243.5</v>
      </c>
      <c r="F18">
        <v>3778.1</v>
      </c>
      <c r="G18">
        <v>0.09</v>
      </c>
      <c r="L18">
        <v>7.75</v>
      </c>
      <c r="M18">
        <v>0.09</v>
      </c>
      <c r="N18">
        <v>478243.5</v>
      </c>
      <c r="O18">
        <v>3778.1</v>
      </c>
      <c r="P18">
        <v>0.09</v>
      </c>
    </row>
    <row r="19" spans="1:16" x14ac:dyDescent="0.25">
      <c r="A19">
        <v>44</v>
      </c>
      <c r="B19" t="s">
        <v>18</v>
      </c>
      <c r="C19">
        <v>7.78</v>
      </c>
      <c r="D19">
        <v>2.08</v>
      </c>
      <c r="E19">
        <v>2727571.5</v>
      </c>
      <c r="F19">
        <v>87355</v>
      </c>
      <c r="G19">
        <v>2.0819999999999999</v>
      </c>
      <c r="L19">
        <v>7.78</v>
      </c>
      <c r="M19">
        <v>2.08</v>
      </c>
      <c r="N19">
        <v>2727571.5</v>
      </c>
      <c r="O19">
        <v>87355</v>
      </c>
      <c r="P19">
        <v>2.0819999999999999</v>
      </c>
    </row>
    <row r="20" spans="1:16" x14ac:dyDescent="0.25">
      <c r="A20">
        <v>50</v>
      </c>
      <c r="B20" t="s">
        <v>30</v>
      </c>
      <c r="C20">
        <v>7.82</v>
      </c>
      <c r="D20">
        <v>1.57</v>
      </c>
      <c r="E20">
        <v>2889466.6</v>
      </c>
      <c r="F20">
        <v>65911.100000000006</v>
      </c>
      <c r="G20">
        <v>1.571</v>
      </c>
      <c r="L20">
        <v>7.82</v>
      </c>
      <c r="M20">
        <v>1.57</v>
      </c>
      <c r="N20">
        <v>2889466.6</v>
      </c>
      <c r="O20">
        <v>65911.100000000006</v>
      </c>
      <c r="P20">
        <v>1.571</v>
      </c>
    </row>
    <row r="21" spans="1:16" x14ac:dyDescent="0.25">
      <c r="A21">
        <v>51</v>
      </c>
      <c r="B21" t="s">
        <v>31</v>
      </c>
      <c r="C21">
        <v>8.02</v>
      </c>
      <c r="D21">
        <v>31.1</v>
      </c>
      <c r="E21">
        <v>4295594.9000000004</v>
      </c>
      <c r="F21">
        <v>1304622</v>
      </c>
      <c r="G21">
        <v>31.100999999999999</v>
      </c>
      <c r="L21">
        <v>8.02</v>
      </c>
      <c r="M21">
        <v>31.1</v>
      </c>
      <c r="N21">
        <v>4295594.9000000004</v>
      </c>
      <c r="O21">
        <v>1304622</v>
      </c>
      <c r="P21">
        <v>31.100999999999999</v>
      </c>
    </row>
    <row r="22" spans="1:16" x14ac:dyDescent="0.25">
      <c r="A22">
        <v>52</v>
      </c>
      <c r="B22" t="s">
        <v>32</v>
      </c>
      <c r="C22">
        <v>8.3000000000000007</v>
      </c>
      <c r="D22">
        <v>1.1399999999999999</v>
      </c>
      <c r="E22">
        <v>581634.69999999995</v>
      </c>
      <c r="F22">
        <v>47941</v>
      </c>
      <c r="G22">
        <v>1.143</v>
      </c>
      <c r="L22">
        <v>8.3000000000000007</v>
      </c>
      <c r="M22">
        <v>1.1399999999999999</v>
      </c>
      <c r="N22">
        <v>581634.69999999995</v>
      </c>
      <c r="O22">
        <v>47941</v>
      </c>
      <c r="P22">
        <v>1.143</v>
      </c>
    </row>
    <row r="23" spans="1:16" x14ac:dyDescent="0.25">
      <c r="A23">
        <v>11</v>
      </c>
      <c r="B23" t="s">
        <v>18</v>
      </c>
      <c r="C23">
        <v>8.5500000000000007</v>
      </c>
      <c r="D23">
        <v>0.03</v>
      </c>
      <c r="E23">
        <v>121917.8</v>
      </c>
      <c r="F23">
        <v>1398.2</v>
      </c>
      <c r="G23">
        <v>3.3000000000000002E-2</v>
      </c>
      <c r="L23">
        <v>8.5500000000000007</v>
      </c>
      <c r="M23">
        <v>0.03</v>
      </c>
      <c r="N23">
        <v>121917.8</v>
      </c>
      <c r="O23">
        <v>1398.2</v>
      </c>
      <c r="P23">
        <v>3.3000000000000002E-2</v>
      </c>
    </row>
    <row r="24" spans="1:16" x14ac:dyDescent="0.25">
      <c r="A24">
        <v>53</v>
      </c>
      <c r="B24" t="s">
        <v>18</v>
      </c>
      <c r="C24">
        <v>8.57</v>
      </c>
      <c r="D24">
        <v>0.48</v>
      </c>
      <c r="E24">
        <v>278040.3</v>
      </c>
      <c r="F24">
        <v>20210.7</v>
      </c>
      <c r="G24">
        <v>0.48199999999999998</v>
      </c>
      <c r="L24">
        <v>8.57</v>
      </c>
      <c r="M24">
        <v>0.48</v>
      </c>
      <c r="N24">
        <v>278040.3</v>
      </c>
      <c r="O24">
        <v>20210.7</v>
      </c>
      <c r="P24">
        <v>0.48199999999999998</v>
      </c>
    </row>
    <row r="25" spans="1:16" x14ac:dyDescent="0.25">
      <c r="A25">
        <v>12</v>
      </c>
      <c r="B25" t="s">
        <v>18</v>
      </c>
      <c r="C25">
        <v>8.7799999999999994</v>
      </c>
      <c r="D25">
        <v>0.03</v>
      </c>
      <c r="E25">
        <v>33002.300000000003</v>
      </c>
      <c r="F25">
        <v>1441.3</v>
      </c>
      <c r="G25">
        <v>3.4000000000000002E-2</v>
      </c>
      <c r="L25">
        <v>8.7799999999999994</v>
      </c>
      <c r="M25">
        <v>0.03</v>
      </c>
      <c r="N25">
        <v>33002.300000000003</v>
      </c>
      <c r="O25">
        <v>1441.3</v>
      </c>
      <c r="P25">
        <v>3.4000000000000002E-2</v>
      </c>
    </row>
    <row r="26" spans="1:16" x14ac:dyDescent="0.25">
      <c r="A26">
        <v>35</v>
      </c>
      <c r="B26" t="s">
        <v>18</v>
      </c>
      <c r="C26">
        <v>8.8699999999999992</v>
      </c>
      <c r="D26">
        <v>0.01</v>
      </c>
      <c r="E26">
        <v>4517.3999999999996</v>
      </c>
      <c r="F26">
        <v>239.2</v>
      </c>
      <c r="G26">
        <v>6.0000000000000001E-3</v>
      </c>
      <c r="L26">
        <v>8.8699999999999992</v>
      </c>
      <c r="M26">
        <v>0.01</v>
      </c>
      <c r="N26">
        <v>4517.3999999999996</v>
      </c>
      <c r="O26">
        <v>239.2</v>
      </c>
      <c r="P26">
        <v>6.0000000000000001E-3</v>
      </c>
    </row>
    <row r="27" spans="1:16" x14ac:dyDescent="0.25">
      <c r="A27">
        <v>13</v>
      </c>
      <c r="B27" t="s">
        <v>18</v>
      </c>
      <c r="C27">
        <v>8.9499999999999993</v>
      </c>
      <c r="D27">
        <v>0.01</v>
      </c>
      <c r="E27">
        <v>5741.9</v>
      </c>
      <c r="F27">
        <v>247.3</v>
      </c>
      <c r="G27">
        <v>6.0000000000000001E-3</v>
      </c>
      <c r="L27">
        <v>8.9499999999999993</v>
      </c>
      <c r="M27">
        <v>0.01</v>
      </c>
      <c r="N27">
        <v>5741.9</v>
      </c>
      <c r="O27">
        <v>247.3</v>
      </c>
      <c r="P27">
        <v>6.0000000000000001E-3</v>
      </c>
    </row>
    <row r="28" spans="1:16" x14ac:dyDescent="0.25">
      <c r="A28">
        <v>36</v>
      </c>
      <c r="B28" t="s">
        <v>18</v>
      </c>
      <c r="C28">
        <v>9</v>
      </c>
      <c r="D28">
        <v>0.01</v>
      </c>
      <c r="E28">
        <v>12740.1</v>
      </c>
      <c r="F28">
        <v>524.79999999999995</v>
      </c>
      <c r="G28">
        <v>1.2999999999999999E-2</v>
      </c>
      <c r="L28">
        <v>9</v>
      </c>
      <c r="M28">
        <v>0.01</v>
      </c>
      <c r="N28">
        <v>12740.1</v>
      </c>
      <c r="O28">
        <v>524.79999999999995</v>
      </c>
      <c r="P28">
        <v>1.2999999999999999E-2</v>
      </c>
    </row>
    <row r="29" spans="1:16" x14ac:dyDescent="0.25">
      <c r="A29">
        <v>37</v>
      </c>
      <c r="B29" t="s">
        <v>18</v>
      </c>
      <c r="C29">
        <v>9.1</v>
      </c>
      <c r="D29">
        <v>0.01</v>
      </c>
      <c r="E29">
        <v>3106.3</v>
      </c>
      <c r="F29">
        <v>220.4</v>
      </c>
      <c r="G29">
        <v>5.0000000000000001E-3</v>
      </c>
      <c r="L29">
        <v>9.1</v>
      </c>
      <c r="M29">
        <v>0.01</v>
      </c>
      <c r="N29">
        <v>3106.3</v>
      </c>
      <c r="O29">
        <v>220.4</v>
      </c>
      <c r="P29">
        <v>5.0000000000000001E-3</v>
      </c>
    </row>
    <row r="30" spans="1:16" x14ac:dyDescent="0.25">
      <c r="A30">
        <v>14</v>
      </c>
      <c r="B30" t="s">
        <v>18</v>
      </c>
      <c r="C30">
        <v>9.17</v>
      </c>
      <c r="D30">
        <v>0.01</v>
      </c>
      <c r="E30">
        <v>4114.7</v>
      </c>
      <c r="F30">
        <v>258</v>
      </c>
      <c r="G30">
        <v>6.0000000000000001E-3</v>
      </c>
      <c r="L30">
        <v>9.17</v>
      </c>
      <c r="M30">
        <v>0.01</v>
      </c>
      <c r="N30">
        <v>4114.7</v>
      </c>
      <c r="O30">
        <v>258</v>
      </c>
      <c r="P30">
        <v>6.0000000000000001E-3</v>
      </c>
    </row>
    <row r="31" spans="1:16" x14ac:dyDescent="0.25">
      <c r="A31">
        <v>38</v>
      </c>
      <c r="B31" t="s">
        <v>18</v>
      </c>
      <c r="C31">
        <v>9.23</v>
      </c>
      <c r="D31">
        <v>0.01</v>
      </c>
      <c r="E31">
        <v>4646.1000000000004</v>
      </c>
      <c r="F31">
        <v>264.10000000000002</v>
      </c>
      <c r="G31">
        <v>6.0000000000000001E-3</v>
      </c>
      <c r="L31">
        <v>9.23</v>
      </c>
      <c r="M31">
        <v>0.01</v>
      </c>
      <c r="N31">
        <v>4646.1000000000004</v>
      </c>
      <c r="O31">
        <v>264.10000000000002</v>
      </c>
      <c r="P31">
        <v>6.0000000000000001E-3</v>
      </c>
    </row>
    <row r="32" spans="1:16" x14ac:dyDescent="0.25">
      <c r="A32">
        <v>15</v>
      </c>
      <c r="B32" t="s">
        <v>33</v>
      </c>
      <c r="C32">
        <v>9.34</v>
      </c>
      <c r="D32">
        <v>0.01</v>
      </c>
      <c r="E32">
        <v>8549.9</v>
      </c>
      <c r="F32">
        <v>331.2</v>
      </c>
      <c r="G32">
        <v>8.0000000000000002E-3</v>
      </c>
      <c r="L32">
        <v>9.34</v>
      </c>
      <c r="M32">
        <v>0.01</v>
      </c>
      <c r="N32">
        <v>8549.9</v>
      </c>
      <c r="O32">
        <v>331.2</v>
      </c>
      <c r="P32">
        <v>8.0000000000000002E-3</v>
      </c>
    </row>
    <row r="33" spans="1:16" x14ac:dyDescent="0.25">
      <c r="A33">
        <v>45</v>
      </c>
      <c r="B33" t="s">
        <v>18</v>
      </c>
      <c r="C33">
        <v>9.3800000000000008</v>
      </c>
      <c r="D33">
        <v>0.04</v>
      </c>
      <c r="E33">
        <v>65315</v>
      </c>
      <c r="F33">
        <v>1494.1</v>
      </c>
      <c r="G33">
        <v>3.5999999999999997E-2</v>
      </c>
      <c r="L33">
        <v>9.3800000000000008</v>
      </c>
      <c r="M33">
        <v>0.04</v>
      </c>
      <c r="N33">
        <v>65315</v>
      </c>
      <c r="O33">
        <v>1494.1</v>
      </c>
      <c r="P33">
        <v>3.5999999999999997E-2</v>
      </c>
    </row>
    <row r="34" spans="1:16" x14ac:dyDescent="0.25">
      <c r="A34">
        <v>40</v>
      </c>
      <c r="B34" t="s">
        <v>18</v>
      </c>
      <c r="C34">
        <v>9.4</v>
      </c>
      <c r="D34">
        <v>0.23</v>
      </c>
      <c r="E34">
        <v>126055.9</v>
      </c>
      <c r="F34">
        <v>9607.2000000000007</v>
      </c>
      <c r="G34">
        <v>0.22900000000000001</v>
      </c>
      <c r="L34">
        <v>9.4</v>
      </c>
      <c r="M34">
        <v>0.23</v>
      </c>
      <c r="N34">
        <v>126055.9</v>
      </c>
      <c r="O34">
        <v>9607.2000000000007</v>
      </c>
      <c r="P34">
        <v>0.22900000000000001</v>
      </c>
    </row>
    <row r="35" spans="1:16" x14ac:dyDescent="0.25">
      <c r="A35">
        <v>16</v>
      </c>
      <c r="B35" t="s">
        <v>34</v>
      </c>
      <c r="C35">
        <v>9.64</v>
      </c>
      <c r="D35">
        <v>0.05</v>
      </c>
      <c r="E35">
        <v>15568.6</v>
      </c>
      <c r="F35">
        <v>2168.4</v>
      </c>
      <c r="G35">
        <v>5.1999999999999998E-2</v>
      </c>
      <c r="L35">
        <v>9.64</v>
      </c>
      <c r="M35">
        <v>0.05</v>
      </c>
      <c r="N35">
        <v>15568.6</v>
      </c>
      <c r="O35">
        <v>2168.4</v>
      </c>
      <c r="P35">
        <v>5.1999999999999998E-2</v>
      </c>
    </row>
    <row r="36" spans="1:16" x14ac:dyDescent="0.25">
      <c r="A36">
        <v>17</v>
      </c>
      <c r="B36" t="s">
        <v>18</v>
      </c>
      <c r="C36">
        <v>9.84</v>
      </c>
      <c r="D36">
        <v>0.01</v>
      </c>
      <c r="E36">
        <v>3763.5</v>
      </c>
      <c r="F36">
        <v>291.89999999999998</v>
      </c>
      <c r="G36">
        <v>7.0000000000000001E-3</v>
      </c>
      <c r="L36">
        <v>9.84</v>
      </c>
      <c r="M36">
        <v>0.01</v>
      </c>
      <c r="N36">
        <v>3763.5</v>
      </c>
      <c r="O36">
        <v>291.89999999999998</v>
      </c>
      <c r="P36">
        <v>7.0000000000000001E-3</v>
      </c>
    </row>
    <row r="37" spans="1:16" x14ac:dyDescent="0.25">
      <c r="A37">
        <v>39</v>
      </c>
      <c r="B37" t="s">
        <v>18</v>
      </c>
      <c r="C37">
        <v>9.94</v>
      </c>
      <c r="D37">
        <v>0.02</v>
      </c>
      <c r="E37">
        <v>10032</v>
      </c>
      <c r="F37">
        <v>637.4</v>
      </c>
      <c r="G37">
        <v>1.4999999999999999E-2</v>
      </c>
      <c r="L37">
        <v>9.94</v>
      </c>
      <c r="M37">
        <v>0.02</v>
      </c>
      <c r="N37">
        <v>10032</v>
      </c>
      <c r="O37">
        <v>637.4</v>
      </c>
      <c r="P37">
        <v>1.4999999999999999E-2</v>
      </c>
    </row>
    <row r="38" spans="1:16" x14ac:dyDescent="0.25">
      <c r="A38">
        <v>18</v>
      </c>
      <c r="B38" t="s">
        <v>18</v>
      </c>
      <c r="C38">
        <v>10.14</v>
      </c>
      <c r="D38">
        <v>0.05</v>
      </c>
      <c r="E38">
        <v>15049.5</v>
      </c>
      <c r="F38">
        <v>2305.1999999999998</v>
      </c>
      <c r="G38">
        <v>5.5E-2</v>
      </c>
      <c r="L38">
        <v>10.14</v>
      </c>
      <c r="M38">
        <v>0.05</v>
      </c>
      <c r="N38">
        <v>15049.5</v>
      </c>
      <c r="O38">
        <v>2305.1999999999998</v>
      </c>
      <c r="P38">
        <v>5.5E-2</v>
      </c>
    </row>
    <row r="39" spans="1:16" x14ac:dyDescent="0.25">
      <c r="A39">
        <v>19</v>
      </c>
      <c r="B39" t="s">
        <v>18</v>
      </c>
      <c r="C39">
        <v>10.56</v>
      </c>
      <c r="D39">
        <v>0.06</v>
      </c>
      <c r="E39">
        <v>16275.9</v>
      </c>
      <c r="F39">
        <v>2463.5</v>
      </c>
      <c r="G39">
        <v>5.8999999999999997E-2</v>
      </c>
      <c r="L39">
        <v>10.56</v>
      </c>
      <c r="M39">
        <v>0.06</v>
      </c>
      <c r="N39">
        <v>16275.9</v>
      </c>
      <c r="O39">
        <v>2463.5</v>
      </c>
      <c r="P39">
        <v>5.8999999999999997E-2</v>
      </c>
    </row>
    <row r="40" spans="1:16" x14ac:dyDescent="0.25">
      <c r="A40">
        <v>20</v>
      </c>
      <c r="B40" t="s">
        <v>35</v>
      </c>
      <c r="C40">
        <v>10.76</v>
      </c>
      <c r="D40">
        <v>0.05</v>
      </c>
      <c r="E40">
        <v>23191.200000000001</v>
      </c>
      <c r="F40">
        <v>1953.1</v>
      </c>
      <c r="G40">
        <v>4.7E-2</v>
      </c>
      <c r="L40">
        <v>10.76</v>
      </c>
      <c r="M40">
        <v>0.05</v>
      </c>
      <c r="N40">
        <v>23191.200000000001</v>
      </c>
      <c r="O40">
        <v>1953.1</v>
      </c>
      <c r="P40">
        <v>4.7E-2</v>
      </c>
    </row>
    <row r="41" spans="1:16" x14ac:dyDescent="0.25">
      <c r="A41">
        <v>46</v>
      </c>
      <c r="B41" t="s">
        <v>18</v>
      </c>
      <c r="C41">
        <v>10.83</v>
      </c>
      <c r="D41">
        <v>0.01</v>
      </c>
      <c r="E41">
        <v>15918.6</v>
      </c>
      <c r="F41">
        <v>349.1</v>
      </c>
      <c r="G41">
        <v>8.0000000000000002E-3</v>
      </c>
      <c r="L41">
        <v>10.83</v>
      </c>
      <c r="M41">
        <v>0.01</v>
      </c>
      <c r="N41">
        <v>15918.6</v>
      </c>
      <c r="O41">
        <v>349.1</v>
      </c>
      <c r="P41">
        <v>8.0000000000000002E-3</v>
      </c>
    </row>
    <row r="42" spans="1:16" x14ac:dyDescent="0.25">
      <c r="A42">
        <v>21</v>
      </c>
      <c r="B42" t="s">
        <v>18</v>
      </c>
      <c r="C42">
        <v>10.88</v>
      </c>
      <c r="D42">
        <v>0.04</v>
      </c>
      <c r="E42">
        <v>29922.5</v>
      </c>
      <c r="F42">
        <v>1741.5</v>
      </c>
      <c r="G42">
        <v>4.2000000000000003E-2</v>
      </c>
      <c r="L42">
        <v>10.88</v>
      </c>
      <c r="M42">
        <v>0.04</v>
      </c>
      <c r="N42">
        <v>29922.5</v>
      </c>
      <c r="O42">
        <v>1741.5</v>
      </c>
      <c r="P42">
        <v>4.2000000000000003E-2</v>
      </c>
    </row>
    <row r="43" spans="1:16" x14ac:dyDescent="0.25">
      <c r="A43">
        <v>47</v>
      </c>
      <c r="B43" t="s">
        <v>18</v>
      </c>
      <c r="C43">
        <v>10.92</v>
      </c>
      <c r="D43" s="1">
        <v>0.01</v>
      </c>
      <c r="E43">
        <v>28307.5</v>
      </c>
      <c r="F43">
        <v>420.3</v>
      </c>
      <c r="G43">
        <v>0.01</v>
      </c>
      <c r="L43">
        <v>10.92</v>
      </c>
      <c r="M43" s="1">
        <v>0.01</v>
      </c>
      <c r="N43">
        <v>28307.5</v>
      </c>
      <c r="O43">
        <v>420.3</v>
      </c>
      <c r="P43">
        <v>0.01</v>
      </c>
    </row>
    <row r="44" spans="1:16" x14ac:dyDescent="0.25">
      <c r="A44">
        <v>41</v>
      </c>
      <c r="B44" t="s">
        <v>18</v>
      </c>
      <c r="C44">
        <v>10.97</v>
      </c>
      <c r="D44" s="1">
        <v>0.08</v>
      </c>
      <c r="E44">
        <v>37339.800000000003</v>
      </c>
      <c r="F44">
        <v>3341</v>
      </c>
      <c r="G44">
        <v>0.08</v>
      </c>
      <c r="L44">
        <v>10.97</v>
      </c>
      <c r="M44" s="1">
        <v>0.08</v>
      </c>
      <c r="N44">
        <v>37339.800000000003</v>
      </c>
      <c r="O44">
        <v>3341</v>
      </c>
      <c r="P44">
        <v>0.08</v>
      </c>
    </row>
    <row r="45" spans="1:16" x14ac:dyDescent="0.25">
      <c r="A45">
        <v>22</v>
      </c>
      <c r="B45" t="s">
        <v>18</v>
      </c>
      <c r="C45">
        <v>11.07</v>
      </c>
      <c r="D45" s="1">
        <v>0.14000000000000001</v>
      </c>
      <c r="E45">
        <v>41198</v>
      </c>
      <c r="F45">
        <v>6034.9</v>
      </c>
      <c r="G45">
        <v>0.14399999999999999</v>
      </c>
      <c r="L45">
        <v>11.07</v>
      </c>
      <c r="M45" s="1">
        <v>0.14000000000000001</v>
      </c>
      <c r="N45">
        <v>41198</v>
      </c>
      <c r="O45">
        <v>6034.9</v>
      </c>
      <c r="P45">
        <v>0.14399999999999999</v>
      </c>
    </row>
    <row r="46" spans="1:16" x14ac:dyDescent="0.25">
      <c r="A46">
        <v>48</v>
      </c>
      <c r="B46" t="s">
        <v>18</v>
      </c>
      <c r="C46">
        <v>11.33</v>
      </c>
      <c r="D46" s="1">
        <v>0.01</v>
      </c>
      <c r="E46">
        <v>6829.1</v>
      </c>
      <c r="F46">
        <v>580.1</v>
      </c>
      <c r="G46">
        <v>1.4E-2</v>
      </c>
      <c r="L46">
        <v>11.33</v>
      </c>
      <c r="M46" s="1">
        <v>0.01</v>
      </c>
      <c r="N46">
        <v>6829.1</v>
      </c>
      <c r="O46">
        <v>580.1</v>
      </c>
      <c r="P46">
        <v>1.4E-2</v>
      </c>
    </row>
    <row r="47" spans="1:16" x14ac:dyDescent="0.25">
      <c r="A47">
        <v>23</v>
      </c>
      <c r="B47" t="s">
        <v>18</v>
      </c>
      <c r="C47">
        <v>11.45</v>
      </c>
      <c r="D47" s="1">
        <v>0.05</v>
      </c>
      <c r="E47">
        <v>12413.8</v>
      </c>
      <c r="F47">
        <v>2007.4</v>
      </c>
      <c r="G47">
        <v>4.8000000000000001E-2</v>
      </c>
      <c r="L47">
        <v>11.45</v>
      </c>
      <c r="M47" s="1">
        <v>0.05</v>
      </c>
      <c r="N47">
        <v>12413.8</v>
      </c>
      <c r="O47">
        <v>2007.4</v>
      </c>
      <c r="P47">
        <v>4.8000000000000001E-2</v>
      </c>
    </row>
    <row r="48" spans="1:16" x14ac:dyDescent="0.25">
      <c r="A48">
        <v>24</v>
      </c>
      <c r="B48" t="s">
        <v>18</v>
      </c>
      <c r="C48">
        <v>11.74</v>
      </c>
      <c r="D48" s="1">
        <v>7.0000000000000007E-2</v>
      </c>
      <c r="E48">
        <v>16780.7</v>
      </c>
      <c r="F48">
        <v>2982.6</v>
      </c>
      <c r="G48">
        <v>7.0999999999999994E-2</v>
      </c>
      <c r="L48">
        <v>11.74</v>
      </c>
      <c r="M48" s="1">
        <v>7.0000000000000007E-2</v>
      </c>
      <c r="N48">
        <v>16780.7</v>
      </c>
      <c r="O48">
        <v>2982.6</v>
      </c>
      <c r="P48">
        <v>7.0999999999999994E-2</v>
      </c>
    </row>
    <row r="49" spans="1:16" x14ac:dyDescent="0.25">
      <c r="A49">
        <v>25</v>
      </c>
      <c r="B49" t="s">
        <v>18</v>
      </c>
      <c r="C49">
        <v>12.2</v>
      </c>
      <c r="D49">
        <v>0.1</v>
      </c>
      <c r="E49">
        <v>17720.5</v>
      </c>
      <c r="F49">
        <v>4161.3999999999996</v>
      </c>
      <c r="G49">
        <v>9.9000000000000005E-2</v>
      </c>
      <c r="L49">
        <v>12.2</v>
      </c>
      <c r="M49">
        <v>0.1</v>
      </c>
      <c r="N49">
        <v>17720.5</v>
      </c>
      <c r="O49">
        <v>4161.3999999999996</v>
      </c>
      <c r="P49">
        <v>9.9000000000000005E-2</v>
      </c>
    </row>
    <row r="50" spans="1:16" x14ac:dyDescent="0.25">
      <c r="A50">
        <v>26</v>
      </c>
      <c r="B50" t="s">
        <v>18</v>
      </c>
      <c r="C50">
        <v>12.58</v>
      </c>
      <c r="D50">
        <v>0.06</v>
      </c>
      <c r="E50">
        <v>11970.8</v>
      </c>
      <c r="F50">
        <v>2703.7</v>
      </c>
      <c r="G50">
        <v>6.4000000000000001E-2</v>
      </c>
      <c r="L50">
        <v>12.58</v>
      </c>
      <c r="M50">
        <v>0.06</v>
      </c>
      <c r="N50">
        <v>11970.8</v>
      </c>
      <c r="O50">
        <v>2703.7</v>
      </c>
      <c r="P50">
        <v>6.4000000000000001E-2</v>
      </c>
    </row>
    <row r="51" spans="1:16" x14ac:dyDescent="0.25">
      <c r="A51">
        <v>27</v>
      </c>
      <c r="B51" t="s">
        <v>18</v>
      </c>
      <c r="C51">
        <v>13.09</v>
      </c>
      <c r="D51">
        <v>0.01</v>
      </c>
      <c r="E51">
        <v>2702.1</v>
      </c>
      <c r="F51">
        <v>426.7</v>
      </c>
      <c r="G51">
        <v>0.01</v>
      </c>
      <c r="L51">
        <v>13.09</v>
      </c>
      <c r="M51">
        <v>0.01</v>
      </c>
      <c r="N51">
        <v>2702.1</v>
      </c>
      <c r="O51">
        <v>426.7</v>
      </c>
      <c r="P51">
        <v>0.01</v>
      </c>
    </row>
    <row r="52" spans="1:16" x14ac:dyDescent="0.25">
      <c r="A52">
        <v>28</v>
      </c>
      <c r="B52" t="s">
        <v>18</v>
      </c>
      <c r="C52">
        <v>13.23</v>
      </c>
      <c r="D52">
        <v>0.02</v>
      </c>
      <c r="E52">
        <v>3626.3</v>
      </c>
      <c r="F52">
        <v>706.1</v>
      </c>
      <c r="G52">
        <v>1.7000000000000001E-2</v>
      </c>
      <c r="L52">
        <v>13.23</v>
      </c>
      <c r="M52">
        <v>0.02</v>
      </c>
      <c r="N52">
        <v>3626.3</v>
      </c>
      <c r="O52">
        <v>706.1</v>
      </c>
      <c r="P52">
        <v>1.7000000000000001E-2</v>
      </c>
    </row>
    <row r="53" spans="1:16" x14ac:dyDescent="0.25">
      <c r="A53">
        <v>29</v>
      </c>
      <c r="B53" t="s">
        <v>18</v>
      </c>
      <c r="C53">
        <v>13.54</v>
      </c>
      <c r="D53">
        <v>0.02</v>
      </c>
      <c r="E53">
        <v>3318.8</v>
      </c>
      <c r="F53">
        <v>657.4</v>
      </c>
      <c r="G53">
        <v>1.6E-2</v>
      </c>
      <c r="L53">
        <v>13.54</v>
      </c>
      <c r="M53">
        <v>0.02</v>
      </c>
      <c r="N53">
        <v>3318.8</v>
      </c>
      <c r="O53">
        <v>657.4</v>
      </c>
      <c r="P53">
        <v>1.6E-2</v>
      </c>
    </row>
    <row r="54" spans="1:16" x14ac:dyDescent="0.25">
      <c r="A54">
        <v>30</v>
      </c>
      <c r="B54" t="s">
        <v>18</v>
      </c>
      <c r="C54">
        <v>14.06</v>
      </c>
      <c r="D54">
        <v>0.02</v>
      </c>
      <c r="E54">
        <v>2845.6</v>
      </c>
      <c r="F54">
        <v>768.7</v>
      </c>
      <c r="G54">
        <v>1.7999999999999999E-2</v>
      </c>
      <c r="L54">
        <v>14.06</v>
      </c>
      <c r="M54">
        <v>0.02</v>
      </c>
      <c r="N54">
        <v>2845.6</v>
      </c>
      <c r="O54">
        <v>768.7</v>
      </c>
      <c r="P54">
        <v>1.7999999999999999E-2</v>
      </c>
    </row>
    <row r="55" spans="1:16" x14ac:dyDescent="0.25">
      <c r="A55">
        <v>31</v>
      </c>
      <c r="B55" t="s">
        <v>18</v>
      </c>
      <c r="C55">
        <v>14.34</v>
      </c>
      <c r="D55">
        <v>0.01</v>
      </c>
      <c r="E55">
        <v>1176.4000000000001</v>
      </c>
      <c r="F55">
        <v>213.6</v>
      </c>
      <c r="G55">
        <v>5.0000000000000001E-3</v>
      </c>
      <c r="L55">
        <v>14.34</v>
      </c>
      <c r="M55">
        <v>0.01</v>
      </c>
      <c r="N55">
        <v>1176.4000000000001</v>
      </c>
      <c r="O55">
        <v>213.6</v>
      </c>
      <c r="P55">
        <v>5.0000000000000001E-3</v>
      </c>
    </row>
    <row r="56" spans="1:16" x14ac:dyDescent="0.25">
      <c r="A56" t="s">
        <v>7</v>
      </c>
      <c r="B56" t="s">
        <v>7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L56" t="s">
        <v>7</v>
      </c>
      <c r="M56" t="s">
        <v>7</v>
      </c>
      <c r="N56" t="s">
        <v>7</v>
      </c>
      <c r="O56" t="s">
        <v>7</v>
      </c>
      <c r="P56" t="s">
        <v>7</v>
      </c>
    </row>
    <row r="57" spans="1:16" x14ac:dyDescent="0.25">
      <c r="A57" t="s">
        <v>36</v>
      </c>
      <c r="B57" t="s">
        <v>37</v>
      </c>
      <c r="C57" t="s">
        <v>37</v>
      </c>
      <c r="D57">
        <v>100</v>
      </c>
      <c r="E57">
        <v>340221514.19999999</v>
      </c>
      <c r="F57">
        <v>4194852.5999999996</v>
      </c>
      <c r="G57">
        <v>100</v>
      </c>
      <c r="L57" t="s">
        <v>37</v>
      </c>
      <c r="M57">
        <v>100</v>
      </c>
      <c r="N57">
        <v>340221514.19999999</v>
      </c>
      <c r="O57">
        <v>4194852.5999999996</v>
      </c>
      <c r="P57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ABD0-8F50-4D5C-928B-627BABA7249D}">
  <dimension ref="A1:J55"/>
  <sheetViews>
    <sheetView showZeros="0" topLeftCell="F1" workbookViewId="0">
      <selection activeCell="J11" sqref="J11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0" max="10" width="13.5546875" bestFit="1" customWidth="1"/>
    <col min="265" max="265" width="19.5546875" bestFit="1" customWidth="1"/>
    <col min="266" max="266" width="13.5546875" bestFit="1" customWidth="1"/>
    <col min="521" max="521" width="19.5546875" bestFit="1" customWidth="1"/>
    <col min="522" max="522" width="13.5546875" bestFit="1" customWidth="1"/>
    <col min="777" max="777" width="19.5546875" bestFit="1" customWidth="1"/>
    <col min="778" max="778" width="13.5546875" bestFit="1" customWidth="1"/>
    <col min="1033" max="1033" width="19.5546875" bestFit="1" customWidth="1"/>
    <col min="1034" max="1034" width="13.5546875" bestFit="1" customWidth="1"/>
    <col min="1289" max="1289" width="19.5546875" bestFit="1" customWidth="1"/>
    <col min="1290" max="1290" width="13.5546875" bestFit="1" customWidth="1"/>
    <col min="1545" max="1545" width="19.5546875" bestFit="1" customWidth="1"/>
    <col min="1546" max="1546" width="13.5546875" bestFit="1" customWidth="1"/>
    <col min="1801" max="1801" width="19.5546875" bestFit="1" customWidth="1"/>
    <col min="1802" max="1802" width="13.5546875" bestFit="1" customWidth="1"/>
    <col min="2057" max="2057" width="19.5546875" bestFit="1" customWidth="1"/>
    <col min="2058" max="2058" width="13.5546875" bestFit="1" customWidth="1"/>
    <col min="2313" max="2313" width="19.5546875" bestFit="1" customWidth="1"/>
    <col min="2314" max="2314" width="13.5546875" bestFit="1" customWidth="1"/>
    <col min="2569" max="2569" width="19.5546875" bestFit="1" customWidth="1"/>
    <col min="2570" max="2570" width="13.5546875" bestFit="1" customWidth="1"/>
    <col min="2825" max="2825" width="19.5546875" bestFit="1" customWidth="1"/>
    <col min="2826" max="2826" width="13.5546875" bestFit="1" customWidth="1"/>
    <col min="3081" max="3081" width="19.5546875" bestFit="1" customWidth="1"/>
    <col min="3082" max="3082" width="13.5546875" bestFit="1" customWidth="1"/>
    <col min="3337" max="3337" width="19.5546875" bestFit="1" customWidth="1"/>
    <col min="3338" max="3338" width="13.5546875" bestFit="1" customWidth="1"/>
    <col min="3593" max="3593" width="19.5546875" bestFit="1" customWidth="1"/>
    <col min="3594" max="3594" width="13.5546875" bestFit="1" customWidth="1"/>
    <col min="3849" max="3849" width="19.5546875" bestFit="1" customWidth="1"/>
    <col min="3850" max="3850" width="13.5546875" bestFit="1" customWidth="1"/>
    <col min="4105" max="4105" width="19.5546875" bestFit="1" customWidth="1"/>
    <col min="4106" max="4106" width="13.5546875" bestFit="1" customWidth="1"/>
    <col min="4361" max="4361" width="19.5546875" bestFit="1" customWidth="1"/>
    <col min="4362" max="4362" width="13.5546875" bestFit="1" customWidth="1"/>
    <col min="4617" max="4617" width="19.5546875" bestFit="1" customWidth="1"/>
    <col min="4618" max="4618" width="13.5546875" bestFit="1" customWidth="1"/>
    <col min="4873" max="4873" width="19.5546875" bestFit="1" customWidth="1"/>
    <col min="4874" max="4874" width="13.5546875" bestFit="1" customWidth="1"/>
    <col min="5129" max="5129" width="19.5546875" bestFit="1" customWidth="1"/>
    <col min="5130" max="5130" width="13.5546875" bestFit="1" customWidth="1"/>
    <col min="5385" max="5385" width="19.5546875" bestFit="1" customWidth="1"/>
    <col min="5386" max="5386" width="13.5546875" bestFit="1" customWidth="1"/>
    <col min="5641" max="5641" width="19.5546875" bestFit="1" customWidth="1"/>
    <col min="5642" max="5642" width="13.5546875" bestFit="1" customWidth="1"/>
    <col min="5897" max="5897" width="19.5546875" bestFit="1" customWidth="1"/>
    <col min="5898" max="5898" width="13.5546875" bestFit="1" customWidth="1"/>
    <col min="6153" max="6153" width="19.5546875" bestFit="1" customWidth="1"/>
    <col min="6154" max="6154" width="13.5546875" bestFit="1" customWidth="1"/>
    <col min="6409" max="6409" width="19.5546875" bestFit="1" customWidth="1"/>
    <col min="6410" max="6410" width="13.5546875" bestFit="1" customWidth="1"/>
    <col min="6665" max="6665" width="19.5546875" bestFit="1" customWidth="1"/>
    <col min="6666" max="6666" width="13.5546875" bestFit="1" customWidth="1"/>
    <col min="6921" max="6921" width="19.5546875" bestFit="1" customWidth="1"/>
    <col min="6922" max="6922" width="13.5546875" bestFit="1" customWidth="1"/>
    <col min="7177" max="7177" width="19.5546875" bestFit="1" customWidth="1"/>
    <col min="7178" max="7178" width="13.5546875" bestFit="1" customWidth="1"/>
    <col min="7433" max="7433" width="19.5546875" bestFit="1" customWidth="1"/>
    <col min="7434" max="7434" width="13.5546875" bestFit="1" customWidth="1"/>
    <col min="7689" max="7689" width="19.5546875" bestFit="1" customWidth="1"/>
    <col min="7690" max="7690" width="13.5546875" bestFit="1" customWidth="1"/>
    <col min="7945" max="7945" width="19.5546875" bestFit="1" customWidth="1"/>
    <col min="7946" max="7946" width="13.5546875" bestFit="1" customWidth="1"/>
    <col min="8201" max="8201" width="19.5546875" bestFit="1" customWidth="1"/>
    <col min="8202" max="8202" width="13.5546875" bestFit="1" customWidth="1"/>
    <col min="8457" max="8457" width="19.5546875" bestFit="1" customWidth="1"/>
    <col min="8458" max="8458" width="13.5546875" bestFit="1" customWidth="1"/>
    <col min="8713" max="8713" width="19.5546875" bestFit="1" customWidth="1"/>
    <col min="8714" max="8714" width="13.5546875" bestFit="1" customWidth="1"/>
    <col min="8969" max="8969" width="19.5546875" bestFit="1" customWidth="1"/>
    <col min="8970" max="8970" width="13.5546875" bestFit="1" customWidth="1"/>
    <col min="9225" max="9225" width="19.5546875" bestFit="1" customWidth="1"/>
    <col min="9226" max="9226" width="13.5546875" bestFit="1" customWidth="1"/>
    <col min="9481" max="9481" width="19.5546875" bestFit="1" customWidth="1"/>
    <col min="9482" max="9482" width="13.5546875" bestFit="1" customWidth="1"/>
    <col min="9737" max="9737" width="19.5546875" bestFit="1" customWidth="1"/>
    <col min="9738" max="9738" width="13.5546875" bestFit="1" customWidth="1"/>
    <col min="9993" max="9993" width="19.5546875" bestFit="1" customWidth="1"/>
    <col min="9994" max="9994" width="13.5546875" bestFit="1" customWidth="1"/>
    <col min="10249" max="10249" width="19.5546875" bestFit="1" customWidth="1"/>
    <col min="10250" max="10250" width="13.5546875" bestFit="1" customWidth="1"/>
    <col min="10505" max="10505" width="19.5546875" bestFit="1" customWidth="1"/>
    <col min="10506" max="10506" width="13.5546875" bestFit="1" customWidth="1"/>
    <col min="10761" max="10761" width="19.5546875" bestFit="1" customWidth="1"/>
    <col min="10762" max="10762" width="13.5546875" bestFit="1" customWidth="1"/>
    <col min="11017" max="11017" width="19.5546875" bestFit="1" customWidth="1"/>
    <col min="11018" max="11018" width="13.5546875" bestFit="1" customWidth="1"/>
    <col min="11273" max="11273" width="19.5546875" bestFit="1" customWidth="1"/>
    <col min="11274" max="11274" width="13.5546875" bestFit="1" customWidth="1"/>
    <col min="11529" max="11529" width="19.5546875" bestFit="1" customWidth="1"/>
    <col min="11530" max="11530" width="13.5546875" bestFit="1" customWidth="1"/>
    <col min="11785" max="11785" width="19.5546875" bestFit="1" customWidth="1"/>
    <col min="11786" max="11786" width="13.5546875" bestFit="1" customWidth="1"/>
    <col min="12041" max="12041" width="19.5546875" bestFit="1" customWidth="1"/>
    <col min="12042" max="12042" width="13.5546875" bestFit="1" customWidth="1"/>
    <col min="12297" max="12297" width="19.5546875" bestFit="1" customWidth="1"/>
    <col min="12298" max="12298" width="13.5546875" bestFit="1" customWidth="1"/>
    <col min="12553" max="12553" width="19.5546875" bestFit="1" customWidth="1"/>
    <col min="12554" max="12554" width="13.5546875" bestFit="1" customWidth="1"/>
    <col min="12809" max="12809" width="19.5546875" bestFit="1" customWidth="1"/>
    <col min="12810" max="12810" width="13.5546875" bestFit="1" customWidth="1"/>
    <col min="13065" max="13065" width="19.5546875" bestFit="1" customWidth="1"/>
    <col min="13066" max="13066" width="13.5546875" bestFit="1" customWidth="1"/>
    <col min="13321" max="13321" width="19.5546875" bestFit="1" customWidth="1"/>
    <col min="13322" max="13322" width="13.5546875" bestFit="1" customWidth="1"/>
    <col min="13577" max="13577" width="19.5546875" bestFit="1" customWidth="1"/>
    <col min="13578" max="13578" width="13.5546875" bestFit="1" customWidth="1"/>
    <col min="13833" max="13833" width="19.5546875" bestFit="1" customWidth="1"/>
    <col min="13834" max="13834" width="13.5546875" bestFit="1" customWidth="1"/>
    <col min="14089" max="14089" width="19.5546875" bestFit="1" customWidth="1"/>
    <col min="14090" max="14090" width="13.5546875" bestFit="1" customWidth="1"/>
    <col min="14345" max="14345" width="19.5546875" bestFit="1" customWidth="1"/>
    <col min="14346" max="14346" width="13.5546875" bestFit="1" customWidth="1"/>
    <col min="14601" max="14601" width="19.5546875" bestFit="1" customWidth="1"/>
    <col min="14602" max="14602" width="13.5546875" bestFit="1" customWidth="1"/>
    <col min="14857" max="14857" width="19.5546875" bestFit="1" customWidth="1"/>
    <col min="14858" max="14858" width="13.5546875" bestFit="1" customWidth="1"/>
    <col min="15113" max="15113" width="19.5546875" bestFit="1" customWidth="1"/>
    <col min="15114" max="15114" width="13.5546875" bestFit="1" customWidth="1"/>
    <col min="15369" max="15369" width="19.5546875" bestFit="1" customWidth="1"/>
    <col min="15370" max="15370" width="13.5546875" bestFit="1" customWidth="1"/>
    <col min="15625" max="15625" width="19.5546875" bestFit="1" customWidth="1"/>
    <col min="15626" max="15626" width="13.5546875" bestFit="1" customWidth="1"/>
    <col min="15881" max="15881" width="19.5546875" bestFit="1" customWidth="1"/>
    <col min="15882" max="15882" width="13.5546875" bestFit="1" customWidth="1"/>
    <col min="16137" max="16137" width="19.5546875" bestFit="1" customWidth="1"/>
    <col min="16138" max="16138" width="13.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2687147.7</v>
      </c>
    </row>
    <row r="3" spans="1:10" x14ac:dyDescent="0.25">
      <c r="A3">
        <v>1</v>
      </c>
      <c r="B3" t="s">
        <v>14</v>
      </c>
      <c r="C3">
        <v>0.97</v>
      </c>
      <c r="D3">
        <v>58.96</v>
      </c>
      <c r="E3">
        <v>404397550.39999998</v>
      </c>
      <c r="F3">
        <v>2687147.7</v>
      </c>
      <c r="G3">
        <v>58.960999999999999</v>
      </c>
      <c r="I3" t="s">
        <v>15</v>
      </c>
      <c r="J3" s="1">
        <f>F18+F43+F44+F45+F46</f>
        <v>65763.3</v>
      </c>
    </row>
    <row r="4" spans="1:10" x14ac:dyDescent="0.25">
      <c r="A4">
        <v>2</v>
      </c>
      <c r="B4" t="s">
        <v>16</v>
      </c>
      <c r="C4">
        <v>2.2999999999999998</v>
      </c>
      <c r="D4">
        <v>0.01</v>
      </c>
      <c r="E4">
        <v>2051.6</v>
      </c>
      <c r="F4">
        <v>532.5</v>
      </c>
      <c r="G4">
        <v>1.2E-2</v>
      </c>
      <c r="I4" t="s">
        <v>17</v>
      </c>
      <c r="J4">
        <v>103.8</v>
      </c>
    </row>
    <row r="5" spans="1:10" x14ac:dyDescent="0.25">
      <c r="A5">
        <v>3</v>
      </c>
      <c r="B5" t="s">
        <v>18</v>
      </c>
      <c r="C5">
        <v>4.9400000000000004</v>
      </c>
      <c r="D5">
        <v>0</v>
      </c>
      <c r="E5">
        <v>1025.3</v>
      </c>
      <c r="F5">
        <v>184.2</v>
      </c>
      <c r="G5">
        <v>4.0000000000000001E-3</v>
      </c>
      <c r="I5" t="s">
        <v>19</v>
      </c>
      <c r="J5">
        <v>10</v>
      </c>
    </row>
    <row r="6" spans="1:10" x14ac:dyDescent="0.25">
      <c r="A6">
        <v>4</v>
      </c>
      <c r="B6" t="s">
        <v>18</v>
      </c>
      <c r="C6">
        <v>5.79</v>
      </c>
      <c r="D6">
        <v>0</v>
      </c>
      <c r="E6">
        <v>235.5</v>
      </c>
      <c r="F6">
        <v>17.399999999999999</v>
      </c>
      <c r="G6">
        <v>0</v>
      </c>
      <c r="I6" t="s">
        <v>21</v>
      </c>
      <c r="J6">
        <f>J4/J5</f>
        <v>10.379999999999999</v>
      </c>
    </row>
    <row r="7" spans="1:10" x14ac:dyDescent="0.25">
      <c r="A7">
        <v>37</v>
      </c>
      <c r="B7" t="s">
        <v>20</v>
      </c>
      <c r="C7">
        <v>5.92</v>
      </c>
      <c r="D7">
        <v>0.01</v>
      </c>
      <c r="E7">
        <v>4928.2</v>
      </c>
      <c r="F7">
        <v>477.2</v>
      </c>
      <c r="G7">
        <v>0.01</v>
      </c>
      <c r="I7" t="s">
        <v>22</v>
      </c>
      <c r="J7">
        <v>1</v>
      </c>
    </row>
    <row r="8" spans="1:10" x14ac:dyDescent="0.25">
      <c r="A8">
        <v>5</v>
      </c>
      <c r="B8" t="s">
        <v>18</v>
      </c>
      <c r="C8">
        <v>6.17</v>
      </c>
      <c r="D8">
        <v>0</v>
      </c>
      <c r="E8">
        <v>678.8</v>
      </c>
      <c r="F8">
        <v>60.5</v>
      </c>
      <c r="G8">
        <v>1E-3</v>
      </c>
      <c r="I8" t="s">
        <v>23</v>
      </c>
      <c r="J8">
        <v>244.4</v>
      </c>
    </row>
    <row r="9" spans="1:10" x14ac:dyDescent="0.25">
      <c r="A9">
        <v>38</v>
      </c>
      <c r="B9" t="s">
        <v>18</v>
      </c>
      <c r="C9">
        <v>6.32</v>
      </c>
      <c r="D9">
        <v>0</v>
      </c>
      <c r="E9">
        <v>242.5</v>
      </c>
      <c r="F9">
        <v>14.5</v>
      </c>
      <c r="G9">
        <v>0</v>
      </c>
      <c r="I9" t="s">
        <v>24</v>
      </c>
      <c r="J9">
        <f>F55-J2-J3</f>
        <v>1804615.4999999998</v>
      </c>
    </row>
    <row r="10" spans="1:10" x14ac:dyDescent="0.25">
      <c r="A10">
        <v>6</v>
      </c>
      <c r="B10" t="s">
        <v>18</v>
      </c>
      <c r="C10">
        <v>6.44</v>
      </c>
      <c r="D10">
        <v>0</v>
      </c>
      <c r="E10">
        <v>338.7</v>
      </c>
      <c r="F10">
        <v>20.7</v>
      </c>
      <c r="G10">
        <v>0</v>
      </c>
      <c r="I10" t="s">
        <v>25</v>
      </c>
      <c r="J10" s="2">
        <f>(J9/J3)*((J6*J7)/J8)</f>
        <v>1.1654596367073666</v>
      </c>
    </row>
    <row r="11" spans="1:10" x14ac:dyDescent="0.25">
      <c r="A11">
        <v>39</v>
      </c>
      <c r="B11" t="s">
        <v>18</v>
      </c>
      <c r="C11">
        <v>6.58</v>
      </c>
      <c r="D11">
        <v>0.06</v>
      </c>
      <c r="E11">
        <v>40182.699999999997</v>
      </c>
      <c r="F11">
        <v>2690.3</v>
      </c>
      <c r="G11">
        <v>5.8999999999999997E-2</v>
      </c>
      <c r="I11" t="s">
        <v>27</v>
      </c>
      <c r="J11" s="3">
        <v>0.72805160758924869</v>
      </c>
    </row>
    <row r="12" spans="1:10" x14ac:dyDescent="0.25">
      <c r="A12">
        <v>7</v>
      </c>
      <c r="B12" t="s">
        <v>18</v>
      </c>
      <c r="C12">
        <v>6.74</v>
      </c>
      <c r="D12">
        <v>0</v>
      </c>
      <c r="E12">
        <v>3982.4</v>
      </c>
      <c r="F12">
        <v>208.3</v>
      </c>
      <c r="G12">
        <v>5.0000000000000001E-3</v>
      </c>
      <c r="J12" s="2">
        <f>J10*J11</f>
        <v>0.84851476208518006</v>
      </c>
    </row>
    <row r="13" spans="1:10" x14ac:dyDescent="0.25">
      <c r="A13">
        <v>8</v>
      </c>
      <c r="B13" t="s">
        <v>18</v>
      </c>
      <c r="C13">
        <v>6.84</v>
      </c>
      <c r="D13">
        <v>0</v>
      </c>
      <c r="E13">
        <v>782.1</v>
      </c>
      <c r="F13">
        <v>17.3</v>
      </c>
      <c r="G13">
        <v>0</v>
      </c>
    </row>
    <row r="14" spans="1:10" x14ac:dyDescent="0.25">
      <c r="A14">
        <v>40</v>
      </c>
      <c r="B14" t="s">
        <v>26</v>
      </c>
      <c r="C14">
        <v>6.86</v>
      </c>
      <c r="D14">
        <v>0.01</v>
      </c>
      <c r="E14">
        <v>11142.4</v>
      </c>
      <c r="F14">
        <v>532.5</v>
      </c>
      <c r="G14">
        <v>1.2E-2</v>
      </c>
    </row>
    <row r="15" spans="1:10" x14ac:dyDescent="0.25">
      <c r="A15">
        <v>9</v>
      </c>
      <c r="B15" t="s">
        <v>28</v>
      </c>
      <c r="C15">
        <v>6.96</v>
      </c>
      <c r="D15">
        <v>0.02</v>
      </c>
      <c r="E15">
        <v>15818.7</v>
      </c>
      <c r="F15">
        <v>806.5</v>
      </c>
      <c r="G15">
        <v>1.7999999999999999E-2</v>
      </c>
    </row>
    <row r="16" spans="1:10" x14ac:dyDescent="0.25">
      <c r="A16">
        <v>10</v>
      </c>
      <c r="B16" t="s">
        <v>18</v>
      </c>
      <c r="C16">
        <v>7.06</v>
      </c>
      <c r="D16">
        <v>3.41</v>
      </c>
      <c r="E16">
        <v>1103736.3</v>
      </c>
      <c r="F16">
        <v>155216.6</v>
      </c>
      <c r="G16">
        <v>3.4060000000000001</v>
      </c>
    </row>
    <row r="17" spans="1:7" x14ac:dyDescent="0.25">
      <c r="A17">
        <v>11</v>
      </c>
      <c r="B17" t="s">
        <v>18</v>
      </c>
      <c r="C17">
        <v>7.48</v>
      </c>
      <c r="D17">
        <v>0.02</v>
      </c>
      <c r="E17">
        <v>45070.5</v>
      </c>
      <c r="F17">
        <v>833</v>
      </c>
      <c r="G17">
        <v>1.7999999999999999E-2</v>
      </c>
    </row>
    <row r="18" spans="1:7" x14ac:dyDescent="0.25">
      <c r="A18">
        <v>49</v>
      </c>
      <c r="B18" t="s">
        <v>18</v>
      </c>
      <c r="C18">
        <v>7.51</v>
      </c>
      <c r="D18">
        <v>1.06</v>
      </c>
      <c r="E18">
        <v>470204.5</v>
      </c>
      <c r="F18">
        <v>48261.9</v>
      </c>
      <c r="G18">
        <v>1.0589999999999999</v>
      </c>
    </row>
    <row r="19" spans="1:7" x14ac:dyDescent="0.25">
      <c r="A19">
        <v>12</v>
      </c>
      <c r="B19" t="s">
        <v>29</v>
      </c>
      <c r="C19">
        <v>7.71</v>
      </c>
      <c r="D19">
        <v>0.56000000000000005</v>
      </c>
      <c r="E19">
        <v>466407.2</v>
      </c>
      <c r="F19">
        <v>25491.1</v>
      </c>
      <c r="G19">
        <v>0.55900000000000005</v>
      </c>
    </row>
    <row r="20" spans="1:7" x14ac:dyDescent="0.25">
      <c r="A20">
        <v>47</v>
      </c>
      <c r="B20" t="s">
        <v>18</v>
      </c>
      <c r="C20">
        <v>7.75</v>
      </c>
      <c r="D20">
        <v>0.08</v>
      </c>
      <c r="E20">
        <v>464631</v>
      </c>
      <c r="F20">
        <v>3712.4</v>
      </c>
      <c r="G20">
        <v>8.1000000000000003E-2</v>
      </c>
    </row>
    <row r="21" spans="1:7" x14ac:dyDescent="0.25">
      <c r="A21">
        <v>13</v>
      </c>
      <c r="B21" t="s">
        <v>18</v>
      </c>
      <c r="C21">
        <v>7.79</v>
      </c>
      <c r="D21">
        <v>1.87</v>
      </c>
      <c r="E21">
        <v>2732319.1</v>
      </c>
      <c r="F21">
        <v>85305.600000000006</v>
      </c>
      <c r="G21">
        <v>1.8720000000000001</v>
      </c>
    </row>
    <row r="22" spans="1:7" x14ac:dyDescent="0.25">
      <c r="A22">
        <v>45</v>
      </c>
      <c r="B22" t="s">
        <v>30</v>
      </c>
      <c r="C22">
        <v>7.82</v>
      </c>
      <c r="D22">
        <v>1.5</v>
      </c>
      <c r="E22">
        <v>2884024.1</v>
      </c>
      <c r="F22">
        <v>68436.899999999994</v>
      </c>
      <c r="G22">
        <v>1.502</v>
      </c>
    </row>
    <row r="23" spans="1:7" x14ac:dyDescent="0.25">
      <c r="A23">
        <v>46</v>
      </c>
      <c r="B23" t="s">
        <v>31</v>
      </c>
      <c r="C23">
        <v>8.0399999999999991</v>
      </c>
      <c r="D23">
        <v>29.64</v>
      </c>
      <c r="E23">
        <v>4360823.5</v>
      </c>
      <c r="F23">
        <v>1350859</v>
      </c>
      <c r="G23">
        <v>29.64</v>
      </c>
    </row>
    <row r="24" spans="1:7" x14ac:dyDescent="0.25">
      <c r="A24">
        <v>50</v>
      </c>
      <c r="B24" t="s">
        <v>18</v>
      </c>
      <c r="C24">
        <v>8.2899999999999991</v>
      </c>
      <c r="D24">
        <v>7.0000000000000007E-2</v>
      </c>
      <c r="E24">
        <v>308123.8</v>
      </c>
      <c r="F24">
        <v>3332.9</v>
      </c>
      <c r="G24">
        <v>7.2999999999999995E-2</v>
      </c>
    </row>
    <row r="25" spans="1:7" x14ac:dyDescent="0.25">
      <c r="A25">
        <v>14</v>
      </c>
      <c r="B25" t="s">
        <v>32</v>
      </c>
      <c r="C25">
        <v>8.31</v>
      </c>
      <c r="D25">
        <v>1.05</v>
      </c>
      <c r="E25">
        <v>582248.30000000005</v>
      </c>
      <c r="F25">
        <v>47891.8</v>
      </c>
      <c r="G25">
        <v>1.0509999999999999</v>
      </c>
    </row>
    <row r="26" spans="1:7" x14ac:dyDescent="0.25">
      <c r="A26">
        <v>15</v>
      </c>
      <c r="B26" t="s">
        <v>18</v>
      </c>
      <c r="C26">
        <v>8.56</v>
      </c>
      <c r="D26">
        <v>0.03</v>
      </c>
      <c r="E26">
        <v>126374.6</v>
      </c>
      <c r="F26">
        <v>1460.5</v>
      </c>
      <c r="G26">
        <v>3.2000000000000001E-2</v>
      </c>
    </row>
    <row r="27" spans="1:7" x14ac:dyDescent="0.25">
      <c r="A27">
        <v>48</v>
      </c>
      <c r="B27" t="s">
        <v>18</v>
      </c>
      <c r="C27">
        <v>8.58</v>
      </c>
      <c r="D27">
        <v>0.09</v>
      </c>
      <c r="E27">
        <v>284112.90000000002</v>
      </c>
      <c r="F27">
        <v>3982.5</v>
      </c>
      <c r="G27">
        <v>8.6999999999999994E-2</v>
      </c>
    </row>
    <row r="28" spans="1:7" x14ac:dyDescent="0.25">
      <c r="A28">
        <v>51</v>
      </c>
      <c r="B28" t="s">
        <v>18</v>
      </c>
      <c r="C28">
        <v>8.59</v>
      </c>
      <c r="D28">
        <v>0.37</v>
      </c>
      <c r="E28">
        <v>277548.2</v>
      </c>
      <c r="F28">
        <v>16775.3</v>
      </c>
      <c r="G28">
        <v>0.36799999999999999</v>
      </c>
    </row>
    <row r="29" spans="1:7" x14ac:dyDescent="0.25">
      <c r="A29">
        <v>16</v>
      </c>
      <c r="B29" t="s">
        <v>18</v>
      </c>
      <c r="C29">
        <v>8.7899999999999991</v>
      </c>
      <c r="D29">
        <v>0.03</v>
      </c>
      <c r="E29">
        <v>33193.699999999997</v>
      </c>
      <c r="F29">
        <v>1466.3</v>
      </c>
      <c r="G29">
        <v>3.2000000000000001E-2</v>
      </c>
    </row>
    <row r="30" spans="1:7" x14ac:dyDescent="0.25">
      <c r="A30">
        <v>41</v>
      </c>
      <c r="B30" t="s">
        <v>18</v>
      </c>
      <c r="C30">
        <v>8.8800000000000008</v>
      </c>
      <c r="D30">
        <v>0.01</v>
      </c>
      <c r="E30">
        <v>4422.3999999999996</v>
      </c>
      <c r="F30">
        <v>231.5</v>
      </c>
      <c r="G30">
        <v>5.0000000000000001E-3</v>
      </c>
    </row>
    <row r="31" spans="1:7" x14ac:dyDescent="0.25">
      <c r="A31">
        <v>17</v>
      </c>
      <c r="B31" t="s">
        <v>18</v>
      </c>
      <c r="C31">
        <v>8.9600000000000009</v>
      </c>
      <c r="D31">
        <v>0.01</v>
      </c>
      <c r="E31">
        <v>5704</v>
      </c>
      <c r="F31">
        <v>257.60000000000002</v>
      </c>
      <c r="G31">
        <v>6.0000000000000001E-3</v>
      </c>
    </row>
    <row r="32" spans="1:7" x14ac:dyDescent="0.25">
      <c r="A32">
        <v>42</v>
      </c>
      <c r="B32" t="s">
        <v>18</v>
      </c>
      <c r="C32">
        <v>9.01</v>
      </c>
      <c r="D32">
        <v>0.01</v>
      </c>
      <c r="E32">
        <v>12923.4</v>
      </c>
      <c r="F32">
        <v>545.6</v>
      </c>
      <c r="G32">
        <v>1.2E-2</v>
      </c>
    </row>
    <row r="33" spans="1:7" x14ac:dyDescent="0.25">
      <c r="A33">
        <v>18</v>
      </c>
      <c r="B33" t="s">
        <v>18</v>
      </c>
      <c r="C33">
        <v>9.11</v>
      </c>
      <c r="D33">
        <v>0</v>
      </c>
      <c r="E33">
        <v>3147.9</v>
      </c>
      <c r="F33">
        <v>223.2</v>
      </c>
      <c r="G33">
        <v>5.0000000000000001E-3</v>
      </c>
    </row>
    <row r="34" spans="1:7" x14ac:dyDescent="0.25">
      <c r="A34">
        <v>43</v>
      </c>
      <c r="B34" t="s">
        <v>18</v>
      </c>
      <c r="C34">
        <v>9.18</v>
      </c>
      <c r="D34">
        <v>0.01</v>
      </c>
      <c r="E34">
        <v>4402.1000000000004</v>
      </c>
      <c r="F34">
        <v>270.60000000000002</v>
      </c>
      <c r="G34">
        <v>6.0000000000000001E-3</v>
      </c>
    </row>
    <row r="35" spans="1:7" x14ac:dyDescent="0.25">
      <c r="A35">
        <v>44</v>
      </c>
      <c r="B35" t="s">
        <v>33</v>
      </c>
      <c r="C35">
        <v>9.24</v>
      </c>
      <c r="D35">
        <v>0.01</v>
      </c>
      <c r="E35">
        <v>4887.8</v>
      </c>
      <c r="F35">
        <v>281.8</v>
      </c>
      <c r="G35">
        <v>6.0000000000000001E-3</v>
      </c>
    </row>
    <row r="36" spans="1:7" x14ac:dyDescent="0.25">
      <c r="A36">
        <v>19</v>
      </c>
      <c r="B36" t="s">
        <v>18</v>
      </c>
      <c r="C36">
        <v>9.41</v>
      </c>
      <c r="D36">
        <v>0.26</v>
      </c>
      <c r="E36">
        <v>128189.3</v>
      </c>
      <c r="F36">
        <v>11695.9</v>
      </c>
      <c r="G36">
        <v>0.25700000000000001</v>
      </c>
    </row>
    <row r="37" spans="1:7" x14ac:dyDescent="0.25">
      <c r="A37">
        <v>20</v>
      </c>
      <c r="B37" t="s">
        <v>34</v>
      </c>
      <c r="C37">
        <v>9.64</v>
      </c>
      <c r="D37">
        <v>0.05</v>
      </c>
      <c r="E37">
        <v>15962.6</v>
      </c>
      <c r="F37">
        <v>2243.8000000000002</v>
      </c>
      <c r="G37">
        <v>4.9000000000000002E-2</v>
      </c>
    </row>
    <row r="38" spans="1:7" x14ac:dyDescent="0.25">
      <c r="A38">
        <v>21</v>
      </c>
      <c r="B38" t="s">
        <v>18</v>
      </c>
      <c r="C38">
        <v>9.84</v>
      </c>
      <c r="D38">
        <v>0.01</v>
      </c>
      <c r="E38">
        <v>4135.8999999999996</v>
      </c>
      <c r="F38">
        <v>321.2</v>
      </c>
      <c r="G38">
        <v>7.0000000000000001E-3</v>
      </c>
    </row>
    <row r="39" spans="1:7" x14ac:dyDescent="0.25">
      <c r="A39">
        <v>22</v>
      </c>
      <c r="B39" t="s">
        <v>18</v>
      </c>
      <c r="C39">
        <v>9.9499999999999993</v>
      </c>
      <c r="D39">
        <v>0.02</v>
      </c>
      <c r="E39">
        <v>10373.5</v>
      </c>
      <c r="F39">
        <v>704.9</v>
      </c>
      <c r="G39">
        <v>1.4999999999999999E-2</v>
      </c>
    </row>
    <row r="40" spans="1:7" x14ac:dyDescent="0.25">
      <c r="A40">
        <v>23</v>
      </c>
      <c r="B40" t="s">
        <v>18</v>
      </c>
      <c r="C40">
        <v>10.15</v>
      </c>
      <c r="D40">
        <v>0.05</v>
      </c>
      <c r="E40">
        <v>15210.4</v>
      </c>
      <c r="F40">
        <v>2349.4</v>
      </c>
      <c r="G40">
        <v>5.1999999999999998E-2</v>
      </c>
    </row>
    <row r="41" spans="1:7" x14ac:dyDescent="0.25">
      <c r="A41">
        <v>24</v>
      </c>
      <c r="B41" t="s">
        <v>18</v>
      </c>
      <c r="C41">
        <v>10.57</v>
      </c>
      <c r="D41">
        <v>0.06</v>
      </c>
      <c r="E41">
        <v>16707.8</v>
      </c>
      <c r="F41">
        <v>2572.5</v>
      </c>
      <c r="G41">
        <v>5.6000000000000001E-2</v>
      </c>
    </row>
    <row r="42" spans="1:7" x14ac:dyDescent="0.25">
      <c r="A42">
        <v>25</v>
      </c>
      <c r="B42" t="s">
        <v>35</v>
      </c>
      <c r="C42">
        <v>10.77</v>
      </c>
      <c r="D42">
        <v>0.05</v>
      </c>
      <c r="E42">
        <v>22586.3</v>
      </c>
      <c r="F42">
        <v>2343.6</v>
      </c>
      <c r="G42">
        <v>5.0999999999999997E-2</v>
      </c>
    </row>
    <row r="43" spans="1:7" x14ac:dyDescent="0.25">
      <c r="A43">
        <v>26</v>
      </c>
      <c r="B43" t="s">
        <v>18</v>
      </c>
      <c r="C43" s="1">
        <v>10.98</v>
      </c>
      <c r="D43">
        <v>0.12</v>
      </c>
      <c r="E43">
        <v>37694.800000000003</v>
      </c>
      <c r="F43">
        <v>5292</v>
      </c>
      <c r="G43">
        <v>0.11600000000000001</v>
      </c>
    </row>
    <row r="44" spans="1:7" x14ac:dyDescent="0.25">
      <c r="A44">
        <v>27</v>
      </c>
      <c r="B44" t="s">
        <v>18</v>
      </c>
      <c r="C44" s="1">
        <v>11.06</v>
      </c>
      <c r="D44">
        <v>0.16</v>
      </c>
      <c r="E44">
        <v>43693.2</v>
      </c>
      <c r="F44">
        <v>7065</v>
      </c>
      <c r="G44">
        <v>0.155</v>
      </c>
    </row>
    <row r="45" spans="1:7" x14ac:dyDescent="0.25">
      <c r="A45">
        <v>28</v>
      </c>
      <c r="B45" t="s">
        <v>18</v>
      </c>
      <c r="C45" s="1">
        <v>11.46</v>
      </c>
      <c r="D45">
        <v>0.04</v>
      </c>
      <c r="E45">
        <v>12071.7</v>
      </c>
      <c r="F45">
        <v>1929.1</v>
      </c>
      <c r="G45">
        <v>4.2000000000000003E-2</v>
      </c>
    </row>
    <row r="46" spans="1:7" x14ac:dyDescent="0.25">
      <c r="A46">
        <v>29</v>
      </c>
      <c r="B46" t="s">
        <v>18</v>
      </c>
      <c r="C46" s="1">
        <v>11.74</v>
      </c>
      <c r="D46">
        <v>7.0000000000000007E-2</v>
      </c>
      <c r="E46">
        <v>17965.7</v>
      </c>
      <c r="F46">
        <v>3215.3</v>
      </c>
      <c r="G46">
        <v>7.0999999999999994E-2</v>
      </c>
    </row>
    <row r="47" spans="1:7" x14ac:dyDescent="0.25">
      <c r="A47">
        <v>30</v>
      </c>
      <c r="B47" t="s">
        <v>18</v>
      </c>
      <c r="C47">
        <v>12.19</v>
      </c>
      <c r="D47">
        <v>0.1</v>
      </c>
      <c r="E47">
        <v>18013.7</v>
      </c>
      <c r="F47">
        <v>4337.6000000000004</v>
      </c>
      <c r="G47">
        <v>9.5000000000000001E-2</v>
      </c>
    </row>
    <row r="48" spans="1:7" x14ac:dyDescent="0.25">
      <c r="A48">
        <v>31</v>
      </c>
      <c r="B48" t="s">
        <v>18</v>
      </c>
      <c r="C48">
        <v>12.57</v>
      </c>
      <c r="D48">
        <v>0.06</v>
      </c>
      <c r="E48">
        <v>12274</v>
      </c>
      <c r="F48">
        <v>2847.9</v>
      </c>
      <c r="G48">
        <v>6.2E-2</v>
      </c>
    </row>
    <row r="49" spans="1:7" x14ac:dyDescent="0.25">
      <c r="A49">
        <v>32</v>
      </c>
      <c r="B49" t="s">
        <v>18</v>
      </c>
      <c r="C49">
        <v>13.09</v>
      </c>
      <c r="D49">
        <v>0.01</v>
      </c>
      <c r="E49">
        <v>2848.4</v>
      </c>
      <c r="F49">
        <v>448.1</v>
      </c>
      <c r="G49">
        <v>0.01</v>
      </c>
    </row>
    <row r="50" spans="1:7" x14ac:dyDescent="0.25">
      <c r="A50">
        <v>33</v>
      </c>
      <c r="B50" t="s">
        <v>18</v>
      </c>
      <c r="C50">
        <v>13.23</v>
      </c>
      <c r="D50">
        <v>0.02</v>
      </c>
      <c r="E50">
        <v>3872.2</v>
      </c>
      <c r="F50">
        <v>756.2</v>
      </c>
      <c r="G50">
        <v>1.7000000000000001E-2</v>
      </c>
    </row>
    <row r="51" spans="1:7" x14ac:dyDescent="0.25">
      <c r="A51">
        <v>34</v>
      </c>
      <c r="B51" t="s">
        <v>18</v>
      </c>
      <c r="C51">
        <v>13.54</v>
      </c>
      <c r="D51">
        <v>0.02</v>
      </c>
      <c r="E51">
        <v>3479.8</v>
      </c>
      <c r="F51">
        <v>744.3</v>
      </c>
      <c r="G51">
        <v>1.6E-2</v>
      </c>
    </row>
    <row r="52" spans="1:7" x14ac:dyDescent="0.25">
      <c r="A52">
        <v>35</v>
      </c>
      <c r="B52" t="s">
        <v>18</v>
      </c>
      <c r="C52">
        <v>14.12</v>
      </c>
      <c r="D52">
        <v>0.02</v>
      </c>
      <c r="E52">
        <v>3012</v>
      </c>
      <c r="F52">
        <v>853.1</v>
      </c>
      <c r="G52">
        <v>1.9E-2</v>
      </c>
    </row>
    <row r="53" spans="1:7" x14ac:dyDescent="0.25">
      <c r="A53">
        <v>36</v>
      </c>
      <c r="B53" t="s">
        <v>18</v>
      </c>
      <c r="C53">
        <v>14.34</v>
      </c>
      <c r="D53">
        <v>0.01</v>
      </c>
      <c r="E53">
        <v>1267.0999999999999</v>
      </c>
      <c r="F53">
        <v>261.10000000000002</v>
      </c>
      <c r="G53">
        <v>6.0000000000000001E-3</v>
      </c>
    </row>
    <row r="54" spans="1:7" x14ac:dyDescent="0.25">
      <c r="A54" t="s">
        <v>7</v>
      </c>
      <c r="B54" t="s">
        <v>7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</row>
    <row r="55" spans="1:7" x14ac:dyDescent="0.25">
      <c r="A55" t="s">
        <v>36</v>
      </c>
      <c r="B55" t="s">
        <v>37</v>
      </c>
      <c r="C55" t="s">
        <v>37</v>
      </c>
      <c r="D55">
        <v>100</v>
      </c>
      <c r="E55">
        <v>419022623.30000001</v>
      </c>
      <c r="F55">
        <v>4557526.5</v>
      </c>
      <c r="G55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D057-F477-492E-BB37-3283777A010C}">
  <dimension ref="A1:J54"/>
  <sheetViews>
    <sheetView showZeros="0" topLeftCell="F1" workbookViewId="0">
      <selection activeCell="J11" sqref="J11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0" max="10" width="10.6640625" bestFit="1" customWidth="1"/>
    <col min="265" max="265" width="19.5546875" bestFit="1" customWidth="1"/>
    <col min="266" max="266" width="10.6640625" bestFit="1" customWidth="1"/>
    <col min="521" max="521" width="19.5546875" bestFit="1" customWidth="1"/>
    <col min="522" max="522" width="10.6640625" bestFit="1" customWidth="1"/>
    <col min="777" max="777" width="19.5546875" bestFit="1" customWidth="1"/>
    <col min="778" max="778" width="10.6640625" bestFit="1" customWidth="1"/>
    <col min="1033" max="1033" width="19.5546875" bestFit="1" customWidth="1"/>
    <col min="1034" max="1034" width="10.6640625" bestFit="1" customWidth="1"/>
    <col min="1289" max="1289" width="19.5546875" bestFit="1" customWidth="1"/>
    <col min="1290" max="1290" width="10.6640625" bestFit="1" customWidth="1"/>
    <col min="1545" max="1545" width="19.5546875" bestFit="1" customWidth="1"/>
    <col min="1546" max="1546" width="10.6640625" bestFit="1" customWidth="1"/>
    <col min="1801" max="1801" width="19.5546875" bestFit="1" customWidth="1"/>
    <col min="1802" max="1802" width="10.6640625" bestFit="1" customWidth="1"/>
    <col min="2057" max="2057" width="19.5546875" bestFit="1" customWidth="1"/>
    <col min="2058" max="2058" width="10.6640625" bestFit="1" customWidth="1"/>
    <col min="2313" max="2313" width="19.5546875" bestFit="1" customWidth="1"/>
    <col min="2314" max="2314" width="10.6640625" bestFit="1" customWidth="1"/>
    <col min="2569" max="2569" width="19.5546875" bestFit="1" customWidth="1"/>
    <col min="2570" max="2570" width="10.6640625" bestFit="1" customWidth="1"/>
    <col min="2825" max="2825" width="19.5546875" bestFit="1" customWidth="1"/>
    <col min="2826" max="2826" width="10.6640625" bestFit="1" customWidth="1"/>
    <col min="3081" max="3081" width="19.5546875" bestFit="1" customWidth="1"/>
    <col min="3082" max="3082" width="10.6640625" bestFit="1" customWidth="1"/>
    <col min="3337" max="3337" width="19.5546875" bestFit="1" customWidth="1"/>
    <col min="3338" max="3338" width="10.6640625" bestFit="1" customWidth="1"/>
    <col min="3593" max="3593" width="19.5546875" bestFit="1" customWidth="1"/>
    <col min="3594" max="3594" width="10.6640625" bestFit="1" customWidth="1"/>
    <col min="3849" max="3849" width="19.5546875" bestFit="1" customWidth="1"/>
    <col min="3850" max="3850" width="10.6640625" bestFit="1" customWidth="1"/>
    <col min="4105" max="4105" width="19.5546875" bestFit="1" customWidth="1"/>
    <col min="4106" max="4106" width="10.6640625" bestFit="1" customWidth="1"/>
    <col min="4361" max="4361" width="19.5546875" bestFit="1" customWidth="1"/>
    <col min="4362" max="4362" width="10.6640625" bestFit="1" customWidth="1"/>
    <col min="4617" max="4617" width="19.5546875" bestFit="1" customWidth="1"/>
    <col min="4618" max="4618" width="10.6640625" bestFit="1" customWidth="1"/>
    <col min="4873" max="4873" width="19.5546875" bestFit="1" customWidth="1"/>
    <col min="4874" max="4874" width="10.6640625" bestFit="1" customWidth="1"/>
    <col min="5129" max="5129" width="19.5546875" bestFit="1" customWidth="1"/>
    <col min="5130" max="5130" width="10.6640625" bestFit="1" customWidth="1"/>
    <col min="5385" max="5385" width="19.5546875" bestFit="1" customWidth="1"/>
    <col min="5386" max="5386" width="10.6640625" bestFit="1" customWidth="1"/>
    <col min="5641" max="5641" width="19.5546875" bestFit="1" customWidth="1"/>
    <col min="5642" max="5642" width="10.6640625" bestFit="1" customWidth="1"/>
    <col min="5897" max="5897" width="19.5546875" bestFit="1" customWidth="1"/>
    <col min="5898" max="5898" width="10.6640625" bestFit="1" customWidth="1"/>
    <col min="6153" max="6153" width="19.5546875" bestFit="1" customWidth="1"/>
    <col min="6154" max="6154" width="10.6640625" bestFit="1" customWidth="1"/>
    <col min="6409" max="6409" width="19.5546875" bestFit="1" customWidth="1"/>
    <col min="6410" max="6410" width="10.6640625" bestFit="1" customWidth="1"/>
    <col min="6665" max="6665" width="19.5546875" bestFit="1" customWidth="1"/>
    <col min="6666" max="6666" width="10.6640625" bestFit="1" customWidth="1"/>
    <col min="6921" max="6921" width="19.5546875" bestFit="1" customWidth="1"/>
    <col min="6922" max="6922" width="10.6640625" bestFit="1" customWidth="1"/>
    <col min="7177" max="7177" width="19.5546875" bestFit="1" customWidth="1"/>
    <col min="7178" max="7178" width="10.6640625" bestFit="1" customWidth="1"/>
    <col min="7433" max="7433" width="19.5546875" bestFit="1" customWidth="1"/>
    <col min="7434" max="7434" width="10.6640625" bestFit="1" customWidth="1"/>
    <col min="7689" max="7689" width="19.5546875" bestFit="1" customWidth="1"/>
    <col min="7690" max="7690" width="10.6640625" bestFit="1" customWidth="1"/>
    <col min="7945" max="7945" width="19.5546875" bestFit="1" customWidth="1"/>
    <col min="7946" max="7946" width="10.6640625" bestFit="1" customWidth="1"/>
    <col min="8201" max="8201" width="19.5546875" bestFit="1" customWidth="1"/>
    <col min="8202" max="8202" width="10.6640625" bestFit="1" customWidth="1"/>
    <col min="8457" max="8457" width="19.5546875" bestFit="1" customWidth="1"/>
    <col min="8458" max="8458" width="10.6640625" bestFit="1" customWidth="1"/>
    <col min="8713" max="8713" width="19.5546875" bestFit="1" customWidth="1"/>
    <col min="8714" max="8714" width="10.6640625" bestFit="1" customWidth="1"/>
    <col min="8969" max="8969" width="19.5546875" bestFit="1" customWidth="1"/>
    <col min="8970" max="8970" width="10.6640625" bestFit="1" customWidth="1"/>
    <col min="9225" max="9225" width="19.5546875" bestFit="1" customWidth="1"/>
    <col min="9226" max="9226" width="10.6640625" bestFit="1" customWidth="1"/>
    <col min="9481" max="9481" width="19.5546875" bestFit="1" customWidth="1"/>
    <col min="9482" max="9482" width="10.6640625" bestFit="1" customWidth="1"/>
    <col min="9737" max="9737" width="19.5546875" bestFit="1" customWidth="1"/>
    <col min="9738" max="9738" width="10.6640625" bestFit="1" customWidth="1"/>
    <col min="9993" max="9993" width="19.5546875" bestFit="1" customWidth="1"/>
    <col min="9994" max="9994" width="10.6640625" bestFit="1" customWidth="1"/>
    <col min="10249" max="10249" width="19.5546875" bestFit="1" customWidth="1"/>
    <col min="10250" max="10250" width="10.6640625" bestFit="1" customWidth="1"/>
    <col min="10505" max="10505" width="19.5546875" bestFit="1" customWidth="1"/>
    <col min="10506" max="10506" width="10.6640625" bestFit="1" customWidth="1"/>
    <col min="10761" max="10761" width="19.5546875" bestFit="1" customWidth="1"/>
    <col min="10762" max="10762" width="10.6640625" bestFit="1" customWidth="1"/>
    <col min="11017" max="11017" width="19.5546875" bestFit="1" customWidth="1"/>
    <col min="11018" max="11018" width="10.6640625" bestFit="1" customWidth="1"/>
    <col min="11273" max="11273" width="19.5546875" bestFit="1" customWidth="1"/>
    <col min="11274" max="11274" width="10.6640625" bestFit="1" customWidth="1"/>
    <col min="11529" max="11529" width="19.5546875" bestFit="1" customWidth="1"/>
    <col min="11530" max="11530" width="10.6640625" bestFit="1" customWidth="1"/>
    <col min="11785" max="11785" width="19.5546875" bestFit="1" customWidth="1"/>
    <col min="11786" max="11786" width="10.6640625" bestFit="1" customWidth="1"/>
    <col min="12041" max="12041" width="19.5546875" bestFit="1" customWidth="1"/>
    <col min="12042" max="12042" width="10.6640625" bestFit="1" customWidth="1"/>
    <col min="12297" max="12297" width="19.5546875" bestFit="1" customWidth="1"/>
    <col min="12298" max="12298" width="10.6640625" bestFit="1" customWidth="1"/>
    <col min="12553" max="12553" width="19.5546875" bestFit="1" customWidth="1"/>
    <col min="12554" max="12554" width="10.6640625" bestFit="1" customWidth="1"/>
    <col min="12809" max="12809" width="19.5546875" bestFit="1" customWidth="1"/>
    <col min="12810" max="12810" width="10.6640625" bestFit="1" customWidth="1"/>
    <col min="13065" max="13065" width="19.5546875" bestFit="1" customWidth="1"/>
    <col min="13066" max="13066" width="10.6640625" bestFit="1" customWidth="1"/>
    <col min="13321" max="13321" width="19.5546875" bestFit="1" customWidth="1"/>
    <col min="13322" max="13322" width="10.6640625" bestFit="1" customWidth="1"/>
    <col min="13577" max="13577" width="19.5546875" bestFit="1" customWidth="1"/>
    <col min="13578" max="13578" width="10.6640625" bestFit="1" customWidth="1"/>
    <col min="13833" max="13833" width="19.5546875" bestFit="1" customWidth="1"/>
    <col min="13834" max="13834" width="10.6640625" bestFit="1" customWidth="1"/>
    <col min="14089" max="14089" width="19.5546875" bestFit="1" customWidth="1"/>
    <col min="14090" max="14090" width="10.6640625" bestFit="1" customWidth="1"/>
    <col min="14345" max="14345" width="19.5546875" bestFit="1" customWidth="1"/>
    <col min="14346" max="14346" width="10.6640625" bestFit="1" customWidth="1"/>
    <col min="14601" max="14601" width="19.5546875" bestFit="1" customWidth="1"/>
    <col min="14602" max="14602" width="10.6640625" bestFit="1" customWidth="1"/>
    <col min="14857" max="14857" width="19.5546875" bestFit="1" customWidth="1"/>
    <col min="14858" max="14858" width="10.6640625" bestFit="1" customWidth="1"/>
    <col min="15113" max="15113" width="19.5546875" bestFit="1" customWidth="1"/>
    <col min="15114" max="15114" width="10.6640625" bestFit="1" customWidth="1"/>
    <col min="15369" max="15369" width="19.5546875" bestFit="1" customWidth="1"/>
    <col min="15370" max="15370" width="10.6640625" bestFit="1" customWidth="1"/>
    <col min="15625" max="15625" width="19.5546875" bestFit="1" customWidth="1"/>
    <col min="15626" max="15626" width="10.6640625" bestFit="1" customWidth="1"/>
    <col min="15881" max="15881" width="19.5546875" bestFit="1" customWidth="1"/>
    <col min="15882" max="15882" width="10.6640625" bestFit="1" customWidth="1"/>
    <col min="16137" max="16137" width="19.5546875" bestFit="1" customWidth="1"/>
    <col min="16138" max="16138" width="10.66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2547359.1</v>
      </c>
    </row>
    <row r="3" spans="1:10" x14ac:dyDescent="0.25">
      <c r="A3">
        <v>1</v>
      </c>
      <c r="B3" t="s">
        <v>14</v>
      </c>
      <c r="C3">
        <v>0.96</v>
      </c>
      <c r="D3">
        <v>56.06</v>
      </c>
      <c r="E3">
        <v>388081655.89999998</v>
      </c>
      <c r="F3">
        <v>2547359.1</v>
      </c>
      <c r="G3">
        <v>56.06</v>
      </c>
      <c r="I3" t="s">
        <v>15</v>
      </c>
      <c r="J3" s="1">
        <f>F15+F40+F41+F42+F43</f>
        <v>65607.8</v>
      </c>
    </row>
    <row r="4" spans="1:10" x14ac:dyDescent="0.25">
      <c r="A4">
        <v>2</v>
      </c>
      <c r="B4" t="s">
        <v>16</v>
      </c>
      <c r="C4">
        <v>2.27</v>
      </c>
      <c r="D4">
        <v>0.01</v>
      </c>
      <c r="E4">
        <v>2105.9</v>
      </c>
      <c r="F4">
        <v>558.5</v>
      </c>
      <c r="G4">
        <v>1.2E-2</v>
      </c>
      <c r="I4" t="s">
        <v>17</v>
      </c>
      <c r="J4">
        <v>103.8</v>
      </c>
    </row>
    <row r="5" spans="1:10" x14ac:dyDescent="0.25">
      <c r="A5">
        <v>3</v>
      </c>
      <c r="B5" t="s">
        <v>18</v>
      </c>
      <c r="C5">
        <v>4.92</v>
      </c>
      <c r="D5">
        <v>0</v>
      </c>
      <c r="E5">
        <v>1025.9000000000001</v>
      </c>
      <c r="F5">
        <v>195.3</v>
      </c>
      <c r="G5">
        <v>4.0000000000000001E-3</v>
      </c>
      <c r="I5" t="s">
        <v>19</v>
      </c>
      <c r="J5">
        <v>10</v>
      </c>
    </row>
    <row r="6" spans="1:10" x14ac:dyDescent="0.25">
      <c r="A6">
        <v>4</v>
      </c>
      <c r="B6" t="s">
        <v>20</v>
      </c>
      <c r="C6">
        <v>5.91</v>
      </c>
      <c r="D6">
        <v>0.01</v>
      </c>
      <c r="E6">
        <v>4956.7</v>
      </c>
      <c r="F6">
        <v>494</v>
      </c>
      <c r="G6">
        <v>1.0999999999999999E-2</v>
      </c>
      <c r="I6" t="s">
        <v>21</v>
      </c>
      <c r="J6">
        <f>J4/J5</f>
        <v>10.379999999999999</v>
      </c>
    </row>
    <row r="7" spans="1:10" x14ac:dyDescent="0.25">
      <c r="A7">
        <v>5</v>
      </c>
      <c r="B7" t="s">
        <v>18</v>
      </c>
      <c r="C7">
        <v>6.16</v>
      </c>
      <c r="D7">
        <v>0</v>
      </c>
      <c r="E7">
        <v>640.4</v>
      </c>
      <c r="F7">
        <v>51</v>
      </c>
      <c r="G7">
        <v>1E-3</v>
      </c>
      <c r="I7" t="s">
        <v>22</v>
      </c>
      <c r="J7">
        <v>1</v>
      </c>
    </row>
    <row r="8" spans="1:10" x14ac:dyDescent="0.25">
      <c r="A8">
        <v>6</v>
      </c>
      <c r="B8" t="s">
        <v>18</v>
      </c>
      <c r="C8">
        <v>6.43</v>
      </c>
      <c r="D8">
        <v>0</v>
      </c>
      <c r="E8">
        <v>238.6</v>
      </c>
      <c r="F8">
        <v>12.5</v>
      </c>
      <c r="G8">
        <v>0</v>
      </c>
      <c r="I8" t="s">
        <v>23</v>
      </c>
      <c r="J8">
        <v>256.39999999999998</v>
      </c>
    </row>
    <row r="9" spans="1:10" x14ac:dyDescent="0.25">
      <c r="A9">
        <v>42</v>
      </c>
      <c r="B9" t="s">
        <v>18</v>
      </c>
      <c r="C9">
        <v>6.51</v>
      </c>
      <c r="D9">
        <v>0</v>
      </c>
      <c r="E9">
        <v>230.2</v>
      </c>
      <c r="F9">
        <v>7.9</v>
      </c>
      <c r="G9">
        <v>0</v>
      </c>
      <c r="I9" t="s">
        <v>24</v>
      </c>
      <c r="J9">
        <f>F54-J2-J3</f>
        <v>1931033.0000000002</v>
      </c>
    </row>
    <row r="10" spans="1:10" x14ac:dyDescent="0.25">
      <c r="A10">
        <v>43</v>
      </c>
      <c r="B10" t="s">
        <v>18</v>
      </c>
      <c r="C10">
        <v>6.57</v>
      </c>
      <c r="D10">
        <v>0.06</v>
      </c>
      <c r="E10">
        <v>42260</v>
      </c>
      <c r="F10">
        <v>2814.9</v>
      </c>
      <c r="G10">
        <v>6.2E-2</v>
      </c>
      <c r="I10" t="s">
        <v>25</v>
      </c>
      <c r="J10" s="2">
        <f>(J9/J3)*(J6/J8)</f>
        <v>1.1915535182432055</v>
      </c>
    </row>
    <row r="11" spans="1:10" x14ac:dyDescent="0.25">
      <c r="A11">
        <v>7</v>
      </c>
      <c r="B11" t="s">
        <v>18</v>
      </c>
      <c r="C11">
        <v>6.73</v>
      </c>
      <c r="D11">
        <v>0</v>
      </c>
      <c r="E11">
        <v>3933.2</v>
      </c>
      <c r="F11">
        <v>196.7</v>
      </c>
      <c r="G11">
        <v>4.0000000000000001E-3</v>
      </c>
      <c r="I11" t="s">
        <v>27</v>
      </c>
      <c r="J11">
        <v>0.72633009992494157</v>
      </c>
    </row>
    <row r="12" spans="1:10" x14ac:dyDescent="0.25">
      <c r="A12">
        <v>8</v>
      </c>
      <c r="B12" t="s">
        <v>18</v>
      </c>
      <c r="C12">
        <v>6.85</v>
      </c>
      <c r="D12">
        <v>0.01</v>
      </c>
      <c r="E12">
        <v>11019.9</v>
      </c>
      <c r="F12">
        <v>518.5</v>
      </c>
      <c r="G12">
        <v>1.0999999999999999E-2</v>
      </c>
      <c r="J12" s="2">
        <f>J10*J11</f>
        <v>0.86546118597150312</v>
      </c>
    </row>
    <row r="13" spans="1:10" x14ac:dyDescent="0.25">
      <c r="A13">
        <v>41</v>
      </c>
      <c r="B13" t="s">
        <v>26</v>
      </c>
      <c r="C13">
        <v>6.94</v>
      </c>
      <c r="D13">
        <v>0.02</v>
      </c>
      <c r="E13">
        <v>16367.9</v>
      </c>
      <c r="F13">
        <v>832.9</v>
      </c>
      <c r="G13">
        <v>1.7999999999999999E-2</v>
      </c>
    </row>
    <row r="14" spans="1:10" x14ac:dyDescent="0.25">
      <c r="A14">
        <v>9</v>
      </c>
      <c r="B14" t="s">
        <v>28</v>
      </c>
      <c r="C14">
        <v>7.05</v>
      </c>
      <c r="D14">
        <v>3.64</v>
      </c>
      <c r="E14">
        <v>1156615.3999999999</v>
      </c>
      <c r="F14">
        <v>165400.29999999999</v>
      </c>
      <c r="G14">
        <v>3.64</v>
      </c>
    </row>
    <row r="15" spans="1:10" x14ac:dyDescent="0.25">
      <c r="A15">
        <v>10</v>
      </c>
      <c r="B15" t="s">
        <v>18</v>
      </c>
      <c r="C15">
        <v>7.51</v>
      </c>
      <c r="D15">
        <v>1.08</v>
      </c>
      <c r="E15">
        <v>466318.4</v>
      </c>
      <c r="F15">
        <v>49002.2</v>
      </c>
      <c r="G15">
        <v>1.0780000000000001</v>
      </c>
    </row>
    <row r="16" spans="1:10" x14ac:dyDescent="0.25">
      <c r="A16">
        <v>11</v>
      </c>
      <c r="B16" t="s">
        <v>29</v>
      </c>
      <c r="C16">
        <v>7.71</v>
      </c>
      <c r="D16">
        <v>0.56999999999999995</v>
      </c>
      <c r="E16">
        <v>473237.6</v>
      </c>
      <c r="F16">
        <v>26090.5</v>
      </c>
      <c r="G16">
        <v>0.57399999999999995</v>
      </c>
    </row>
    <row r="17" spans="1:7" x14ac:dyDescent="0.25">
      <c r="A17">
        <v>48</v>
      </c>
      <c r="B17" t="s">
        <v>18</v>
      </c>
      <c r="C17">
        <v>7.75</v>
      </c>
      <c r="D17">
        <v>0.09</v>
      </c>
      <c r="E17">
        <v>509441.2</v>
      </c>
      <c r="F17">
        <v>4176.6000000000004</v>
      </c>
      <c r="G17">
        <v>9.1999999999999998E-2</v>
      </c>
    </row>
    <row r="18" spans="1:7" x14ac:dyDescent="0.25">
      <c r="A18">
        <v>49</v>
      </c>
      <c r="B18" t="s">
        <v>18</v>
      </c>
      <c r="C18">
        <v>7.78</v>
      </c>
      <c r="D18">
        <v>1.83</v>
      </c>
      <c r="E18">
        <v>2767708.6</v>
      </c>
      <c r="F18">
        <v>83070.899999999994</v>
      </c>
      <c r="G18">
        <v>1.8280000000000001</v>
      </c>
    </row>
    <row r="19" spans="1:7" x14ac:dyDescent="0.25">
      <c r="A19">
        <v>44</v>
      </c>
      <c r="B19" t="s">
        <v>30</v>
      </c>
      <c r="C19">
        <v>7.81</v>
      </c>
      <c r="D19">
        <v>1.58</v>
      </c>
      <c r="E19">
        <v>2918891.6</v>
      </c>
      <c r="F19">
        <v>71649.899999999994</v>
      </c>
      <c r="G19">
        <v>1.577</v>
      </c>
    </row>
    <row r="20" spans="1:7" x14ac:dyDescent="0.25">
      <c r="A20">
        <v>45</v>
      </c>
      <c r="B20" t="s">
        <v>31</v>
      </c>
      <c r="C20">
        <v>8.0500000000000007</v>
      </c>
      <c r="D20">
        <v>32.33</v>
      </c>
      <c r="E20">
        <v>4519079.5999999996</v>
      </c>
      <c r="F20">
        <v>1469037.8</v>
      </c>
      <c r="G20">
        <v>32.329000000000001</v>
      </c>
    </row>
    <row r="21" spans="1:7" x14ac:dyDescent="0.25">
      <c r="A21">
        <v>46</v>
      </c>
      <c r="B21" t="s">
        <v>32</v>
      </c>
      <c r="C21">
        <v>8.32</v>
      </c>
      <c r="D21">
        <v>1.06</v>
      </c>
      <c r="E21">
        <v>583267</v>
      </c>
      <c r="F21">
        <v>48353.1</v>
      </c>
      <c r="G21">
        <v>1.0640000000000001</v>
      </c>
    </row>
    <row r="22" spans="1:7" x14ac:dyDescent="0.25">
      <c r="A22">
        <v>12</v>
      </c>
      <c r="B22" t="s">
        <v>18</v>
      </c>
      <c r="C22">
        <v>8.57</v>
      </c>
      <c r="D22">
        <v>0.03</v>
      </c>
      <c r="E22">
        <v>136381.20000000001</v>
      </c>
      <c r="F22">
        <v>1438.7</v>
      </c>
      <c r="G22">
        <v>3.2000000000000001E-2</v>
      </c>
    </row>
    <row r="23" spans="1:7" x14ac:dyDescent="0.25">
      <c r="A23">
        <v>47</v>
      </c>
      <c r="B23" t="s">
        <v>18</v>
      </c>
      <c r="C23">
        <v>8.58</v>
      </c>
      <c r="D23">
        <v>0.49</v>
      </c>
      <c r="E23">
        <v>299836.7</v>
      </c>
      <c r="F23">
        <v>22291.7</v>
      </c>
      <c r="G23">
        <v>0.49099999999999999</v>
      </c>
    </row>
    <row r="24" spans="1:7" x14ac:dyDescent="0.25">
      <c r="A24">
        <v>13</v>
      </c>
      <c r="B24" t="s">
        <v>18</v>
      </c>
      <c r="C24">
        <v>8.7899999999999991</v>
      </c>
      <c r="D24">
        <v>0.03</v>
      </c>
      <c r="E24">
        <v>32882.699999999997</v>
      </c>
      <c r="F24">
        <v>1477.9</v>
      </c>
      <c r="G24">
        <v>3.3000000000000002E-2</v>
      </c>
    </row>
    <row r="25" spans="1:7" x14ac:dyDescent="0.25">
      <c r="A25">
        <v>36</v>
      </c>
      <c r="B25" t="s">
        <v>18</v>
      </c>
      <c r="C25">
        <v>8.8800000000000008</v>
      </c>
      <c r="D25">
        <v>0</v>
      </c>
      <c r="E25">
        <v>3547.2</v>
      </c>
      <c r="F25">
        <v>165.9</v>
      </c>
      <c r="G25">
        <v>4.0000000000000001E-3</v>
      </c>
    </row>
    <row r="26" spans="1:7" x14ac:dyDescent="0.25">
      <c r="A26">
        <v>14</v>
      </c>
      <c r="B26" t="s">
        <v>18</v>
      </c>
      <c r="C26">
        <v>8.9600000000000009</v>
      </c>
      <c r="D26">
        <v>0.01</v>
      </c>
      <c r="E26">
        <v>4834.7</v>
      </c>
      <c r="F26">
        <v>232.8</v>
      </c>
      <c r="G26">
        <v>5.0000000000000001E-3</v>
      </c>
    </row>
    <row r="27" spans="1:7" x14ac:dyDescent="0.25">
      <c r="A27">
        <v>37</v>
      </c>
      <c r="B27" t="s">
        <v>18</v>
      </c>
      <c r="C27">
        <v>9.01</v>
      </c>
      <c r="D27">
        <v>0.01</v>
      </c>
      <c r="E27">
        <v>12265.3</v>
      </c>
      <c r="F27">
        <v>526.29999999999995</v>
      </c>
      <c r="G27">
        <v>1.2E-2</v>
      </c>
    </row>
    <row r="28" spans="1:7" x14ac:dyDescent="0.25">
      <c r="A28">
        <v>15</v>
      </c>
      <c r="B28" t="s">
        <v>18</v>
      </c>
      <c r="C28">
        <v>9.11</v>
      </c>
      <c r="D28">
        <v>0</v>
      </c>
      <c r="E28">
        <v>2279.4</v>
      </c>
      <c r="F28">
        <v>130.6</v>
      </c>
      <c r="G28">
        <v>3.0000000000000001E-3</v>
      </c>
    </row>
    <row r="29" spans="1:7" x14ac:dyDescent="0.25">
      <c r="A29">
        <v>38</v>
      </c>
      <c r="B29" t="s">
        <v>18</v>
      </c>
      <c r="C29">
        <v>9.18</v>
      </c>
      <c r="D29">
        <v>0.01</v>
      </c>
      <c r="E29">
        <v>3664.4</v>
      </c>
      <c r="F29">
        <v>230.7</v>
      </c>
      <c r="G29">
        <v>5.0000000000000001E-3</v>
      </c>
    </row>
    <row r="30" spans="1:7" x14ac:dyDescent="0.25">
      <c r="A30">
        <v>39</v>
      </c>
      <c r="B30" t="s">
        <v>18</v>
      </c>
      <c r="C30">
        <v>9.24</v>
      </c>
      <c r="D30">
        <v>0</v>
      </c>
      <c r="E30">
        <v>4015.2</v>
      </c>
      <c r="F30">
        <v>214</v>
      </c>
      <c r="G30">
        <v>5.0000000000000001E-3</v>
      </c>
    </row>
    <row r="31" spans="1:7" x14ac:dyDescent="0.25">
      <c r="A31">
        <v>16</v>
      </c>
      <c r="B31" t="s">
        <v>33</v>
      </c>
      <c r="C31">
        <v>9.3800000000000008</v>
      </c>
      <c r="D31">
        <v>0.04</v>
      </c>
      <c r="E31">
        <v>69768</v>
      </c>
      <c r="F31">
        <v>1869.8</v>
      </c>
      <c r="G31">
        <v>4.1000000000000002E-2</v>
      </c>
    </row>
    <row r="32" spans="1:7" x14ac:dyDescent="0.25">
      <c r="A32">
        <v>50</v>
      </c>
      <c r="B32" t="s">
        <v>18</v>
      </c>
      <c r="C32">
        <v>9.4</v>
      </c>
      <c r="D32">
        <v>0.23</v>
      </c>
      <c r="E32">
        <v>130624.4</v>
      </c>
      <c r="F32">
        <v>10336.4</v>
      </c>
      <c r="G32">
        <v>0.22700000000000001</v>
      </c>
    </row>
    <row r="33" spans="1:7" x14ac:dyDescent="0.25">
      <c r="A33">
        <v>17</v>
      </c>
      <c r="B33" t="s">
        <v>34</v>
      </c>
      <c r="C33">
        <v>9.64</v>
      </c>
      <c r="D33">
        <v>0.05</v>
      </c>
      <c r="E33">
        <v>15425.5</v>
      </c>
      <c r="F33">
        <v>2110</v>
      </c>
      <c r="G33">
        <v>4.5999999999999999E-2</v>
      </c>
    </row>
    <row r="34" spans="1:7" x14ac:dyDescent="0.25">
      <c r="A34">
        <v>18</v>
      </c>
      <c r="B34" t="s">
        <v>18</v>
      </c>
      <c r="C34">
        <v>9.83</v>
      </c>
      <c r="D34">
        <v>0</v>
      </c>
      <c r="E34">
        <v>3132.5</v>
      </c>
      <c r="F34">
        <v>216.7</v>
      </c>
      <c r="G34">
        <v>5.0000000000000001E-3</v>
      </c>
    </row>
    <row r="35" spans="1:7" x14ac:dyDescent="0.25">
      <c r="A35">
        <v>40</v>
      </c>
      <c r="B35" t="s">
        <v>18</v>
      </c>
      <c r="C35">
        <v>9.9499999999999993</v>
      </c>
      <c r="D35">
        <v>0.01</v>
      </c>
      <c r="E35">
        <v>9820.6</v>
      </c>
      <c r="F35">
        <v>614.6</v>
      </c>
      <c r="G35">
        <v>1.4E-2</v>
      </c>
    </row>
    <row r="36" spans="1:7" x14ac:dyDescent="0.25">
      <c r="A36">
        <v>19</v>
      </c>
      <c r="B36" t="s">
        <v>18</v>
      </c>
      <c r="C36">
        <v>10.14</v>
      </c>
      <c r="D36">
        <v>0.04</v>
      </c>
      <c r="E36">
        <v>13668.1</v>
      </c>
      <c r="F36">
        <v>1969.2</v>
      </c>
      <c r="G36">
        <v>4.2999999999999997E-2</v>
      </c>
    </row>
    <row r="37" spans="1:7" x14ac:dyDescent="0.25">
      <c r="A37">
        <v>20</v>
      </c>
      <c r="B37" t="s">
        <v>18</v>
      </c>
      <c r="C37">
        <v>10.55</v>
      </c>
      <c r="D37">
        <v>0.05</v>
      </c>
      <c r="E37">
        <v>16557.900000000001</v>
      </c>
      <c r="F37">
        <v>2358.5</v>
      </c>
      <c r="G37">
        <v>5.1999999999999998E-2</v>
      </c>
    </row>
    <row r="38" spans="1:7" x14ac:dyDescent="0.25">
      <c r="A38">
        <v>22</v>
      </c>
      <c r="B38" t="s">
        <v>35</v>
      </c>
      <c r="C38">
        <v>10.75</v>
      </c>
      <c r="D38">
        <v>0.04</v>
      </c>
      <c r="E38">
        <v>21820.1</v>
      </c>
      <c r="F38">
        <v>1942.8</v>
      </c>
      <c r="G38">
        <v>4.2999999999999997E-2</v>
      </c>
    </row>
    <row r="39" spans="1:7" x14ac:dyDescent="0.25">
      <c r="A39">
        <v>32</v>
      </c>
      <c r="B39" t="s">
        <v>18</v>
      </c>
      <c r="C39">
        <v>10.83</v>
      </c>
      <c r="D39">
        <v>0.01</v>
      </c>
      <c r="E39">
        <v>15743.8</v>
      </c>
      <c r="F39">
        <v>432.6</v>
      </c>
      <c r="G39">
        <v>0.01</v>
      </c>
    </row>
    <row r="40" spans="1:7" x14ac:dyDescent="0.25">
      <c r="A40">
        <v>33</v>
      </c>
      <c r="B40" t="s">
        <v>18</v>
      </c>
      <c r="C40" s="1">
        <v>10.96</v>
      </c>
      <c r="D40">
        <v>0.11</v>
      </c>
      <c r="E40">
        <v>37849.5</v>
      </c>
      <c r="F40">
        <v>4834.8</v>
      </c>
      <c r="G40">
        <v>0.106</v>
      </c>
    </row>
    <row r="41" spans="1:7" x14ac:dyDescent="0.25">
      <c r="A41">
        <v>35</v>
      </c>
      <c r="B41" t="s">
        <v>18</v>
      </c>
      <c r="C41" s="1">
        <v>11.05</v>
      </c>
      <c r="D41">
        <v>0.16</v>
      </c>
      <c r="E41">
        <v>45024.3</v>
      </c>
      <c r="F41">
        <v>7198.4</v>
      </c>
      <c r="G41">
        <v>0.158</v>
      </c>
    </row>
    <row r="42" spans="1:7" x14ac:dyDescent="0.25">
      <c r="A42">
        <v>23</v>
      </c>
      <c r="B42" t="s">
        <v>18</v>
      </c>
      <c r="C42" s="1">
        <v>11.45</v>
      </c>
      <c r="D42">
        <v>0.03</v>
      </c>
      <c r="E42">
        <v>10487</v>
      </c>
      <c r="F42">
        <v>1575.1</v>
      </c>
      <c r="G42">
        <v>3.5000000000000003E-2</v>
      </c>
    </row>
    <row r="43" spans="1:7" x14ac:dyDescent="0.25">
      <c r="A43">
        <v>24</v>
      </c>
      <c r="B43" t="s">
        <v>18</v>
      </c>
      <c r="C43" s="1">
        <v>11.72</v>
      </c>
      <c r="D43">
        <v>7.0000000000000007E-2</v>
      </c>
      <c r="E43">
        <v>18001.099999999999</v>
      </c>
      <c r="F43">
        <v>2997.3</v>
      </c>
      <c r="G43">
        <v>6.6000000000000003E-2</v>
      </c>
    </row>
    <row r="44" spans="1:7" x14ac:dyDescent="0.25">
      <c r="A44">
        <v>25</v>
      </c>
      <c r="B44" t="s">
        <v>18</v>
      </c>
      <c r="C44">
        <v>12.11</v>
      </c>
      <c r="D44">
        <v>0.02</v>
      </c>
      <c r="E44">
        <v>13028.9</v>
      </c>
      <c r="F44">
        <v>732.4</v>
      </c>
      <c r="G44">
        <v>1.6E-2</v>
      </c>
    </row>
    <row r="45" spans="1:7" x14ac:dyDescent="0.25">
      <c r="A45">
        <v>34</v>
      </c>
      <c r="B45" t="s">
        <v>18</v>
      </c>
      <c r="C45">
        <v>12.17</v>
      </c>
      <c r="D45">
        <v>0.08</v>
      </c>
      <c r="E45">
        <v>18374.2</v>
      </c>
      <c r="F45">
        <v>3500</v>
      </c>
      <c r="G45">
        <v>7.6999999999999999E-2</v>
      </c>
    </row>
    <row r="46" spans="1:7" x14ac:dyDescent="0.25">
      <c r="A46">
        <v>26</v>
      </c>
      <c r="B46" t="s">
        <v>18</v>
      </c>
      <c r="C46">
        <v>12.54</v>
      </c>
      <c r="D46">
        <v>0.06</v>
      </c>
      <c r="E46">
        <v>12612.5</v>
      </c>
      <c r="F46">
        <v>2692.1</v>
      </c>
      <c r="G46">
        <v>5.8999999999999997E-2</v>
      </c>
    </row>
    <row r="47" spans="1:7" x14ac:dyDescent="0.25">
      <c r="A47">
        <v>27</v>
      </c>
      <c r="B47" t="s">
        <v>18</v>
      </c>
      <c r="C47">
        <v>13.05</v>
      </c>
      <c r="D47">
        <v>0.01</v>
      </c>
      <c r="E47">
        <v>2327.3000000000002</v>
      </c>
      <c r="F47">
        <v>321.10000000000002</v>
      </c>
      <c r="G47">
        <v>7.0000000000000001E-3</v>
      </c>
    </row>
    <row r="48" spans="1:7" x14ac:dyDescent="0.25">
      <c r="A48">
        <v>28</v>
      </c>
      <c r="B48" t="s">
        <v>18</v>
      </c>
      <c r="C48">
        <v>13.19</v>
      </c>
      <c r="D48">
        <v>0.01</v>
      </c>
      <c r="E48">
        <v>3389.3</v>
      </c>
      <c r="F48">
        <v>590.29999999999995</v>
      </c>
      <c r="G48">
        <v>1.2999999999999999E-2</v>
      </c>
    </row>
    <row r="49" spans="1:7" x14ac:dyDescent="0.25">
      <c r="A49">
        <v>29</v>
      </c>
      <c r="B49" t="s">
        <v>18</v>
      </c>
      <c r="C49">
        <v>13.51</v>
      </c>
      <c r="D49">
        <v>0.01</v>
      </c>
      <c r="E49">
        <v>3029.3</v>
      </c>
      <c r="F49">
        <v>499.9</v>
      </c>
      <c r="G49">
        <v>1.0999999999999999E-2</v>
      </c>
    </row>
    <row r="50" spans="1:7" x14ac:dyDescent="0.25">
      <c r="A50">
        <v>21</v>
      </c>
      <c r="B50" t="s">
        <v>18</v>
      </c>
      <c r="C50">
        <v>13.91</v>
      </c>
      <c r="D50">
        <v>0</v>
      </c>
      <c r="E50">
        <v>1221</v>
      </c>
      <c r="F50">
        <v>77.2</v>
      </c>
      <c r="G50">
        <v>2E-3</v>
      </c>
    </row>
    <row r="51" spans="1:7" x14ac:dyDescent="0.25">
      <c r="A51">
        <v>30</v>
      </c>
      <c r="B51" t="s">
        <v>18</v>
      </c>
      <c r="C51">
        <v>14.07</v>
      </c>
      <c r="D51">
        <v>0.01</v>
      </c>
      <c r="E51">
        <v>2627.2</v>
      </c>
      <c r="F51">
        <v>535.20000000000005</v>
      </c>
      <c r="G51">
        <v>1.2E-2</v>
      </c>
    </row>
    <row r="52" spans="1:7" x14ac:dyDescent="0.25">
      <c r="A52">
        <v>31</v>
      </c>
      <c r="B52" t="s">
        <v>18</v>
      </c>
      <c r="C52">
        <v>14.29</v>
      </c>
      <c r="D52">
        <v>0</v>
      </c>
      <c r="E52">
        <v>561</v>
      </c>
      <c r="F52">
        <v>64.400000000000006</v>
      </c>
      <c r="G52">
        <v>1E-3</v>
      </c>
    </row>
    <row r="53" spans="1:7" x14ac:dyDescent="0.25">
      <c r="A53" t="s">
        <v>7</v>
      </c>
      <c r="B53" t="s">
        <v>7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</row>
    <row r="54" spans="1:7" x14ac:dyDescent="0.25">
      <c r="A54" t="s">
        <v>36</v>
      </c>
      <c r="B54" t="s">
        <v>37</v>
      </c>
      <c r="C54" t="s">
        <v>37</v>
      </c>
      <c r="D54">
        <v>100</v>
      </c>
      <c r="E54">
        <v>402523794.19999999</v>
      </c>
      <c r="F54">
        <v>4543999.9000000004</v>
      </c>
      <c r="G54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1489-E8FD-4503-9FCB-81CF6060651B}">
  <dimension ref="A1:J54"/>
  <sheetViews>
    <sheetView showZeros="0" topLeftCell="F1" workbookViewId="0">
      <selection activeCell="J11" sqref="J11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0" max="10" width="10" bestFit="1" customWidth="1"/>
    <col min="265" max="265" width="19.5546875" bestFit="1" customWidth="1"/>
    <col min="266" max="266" width="10" bestFit="1" customWidth="1"/>
    <col min="521" max="521" width="19.5546875" bestFit="1" customWidth="1"/>
    <col min="522" max="522" width="10" bestFit="1" customWidth="1"/>
    <col min="777" max="777" width="19.5546875" bestFit="1" customWidth="1"/>
    <col min="778" max="778" width="10" bestFit="1" customWidth="1"/>
    <col min="1033" max="1033" width="19.5546875" bestFit="1" customWidth="1"/>
    <col min="1034" max="1034" width="10" bestFit="1" customWidth="1"/>
    <col min="1289" max="1289" width="19.5546875" bestFit="1" customWidth="1"/>
    <col min="1290" max="1290" width="10" bestFit="1" customWidth="1"/>
    <col min="1545" max="1545" width="19.5546875" bestFit="1" customWidth="1"/>
    <col min="1546" max="1546" width="10" bestFit="1" customWidth="1"/>
    <col min="1801" max="1801" width="19.5546875" bestFit="1" customWidth="1"/>
    <col min="1802" max="1802" width="10" bestFit="1" customWidth="1"/>
    <col min="2057" max="2057" width="19.5546875" bestFit="1" customWidth="1"/>
    <col min="2058" max="2058" width="10" bestFit="1" customWidth="1"/>
    <col min="2313" max="2313" width="19.5546875" bestFit="1" customWidth="1"/>
    <col min="2314" max="2314" width="10" bestFit="1" customWidth="1"/>
    <col min="2569" max="2569" width="19.5546875" bestFit="1" customWidth="1"/>
    <col min="2570" max="2570" width="10" bestFit="1" customWidth="1"/>
    <col min="2825" max="2825" width="19.5546875" bestFit="1" customWidth="1"/>
    <col min="2826" max="2826" width="10" bestFit="1" customWidth="1"/>
    <col min="3081" max="3081" width="19.5546875" bestFit="1" customWidth="1"/>
    <col min="3082" max="3082" width="10" bestFit="1" customWidth="1"/>
    <col min="3337" max="3337" width="19.5546875" bestFit="1" customWidth="1"/>
    <col min="3338" max="3338" width="10" bestFit="1" customWidth="1"/>
    <col min="3593" max="3593" width="19.5546875" bestFit="1" customWidth="1"/>
    <col min="3594" max="3594" width="10" bestFit="1" customWidth="1"/>
    <col min="3849" max="3849" width="19.5546875" bestFit="1" customWidth="1"/>
    <col min="3850" max="3850" width="10" bestFit="1" customWidth="1"/>
    <col min="4105" max="4105" width="19.5546875" bestFit="1" customWidth="1"/>
    <col min="4106" max="4106" width="10" bestFit="1" customWidth="1"/>
    <col min="4361" max="4361" width="19.5546875" bestFit="1" customWidth="1"/>
    <col min="4362" max="4362" width="10" bestFit="1" customWidth="1"/>
    <col min="4617" max="4617" width="19.5546875" bestFit="1" customWidth="1"/>
    <col min="4618" max="4618" width="10" bestFit="1" customWidth="1"/>
    <col min="4873" max="4873" width="19.5546875" bestFit="1" customWidth="1"/>
    <col min="4874" max="4874" width="10" bestFit="1" customWidth="1"/>
    <col min="5129" max="5129" width="19.5546875" bestFit="1" customWidth="1"/>
    <col min="5130" max="5130" width="10" bestFit="1" customWidth="1"/>
    <col min="5385" max="5385" width="19.5546875" bestFit="1" customWidth="1"/>
    <col min="5386" max="5386" width="10" bestFit="1" customWidth="1"/>
    <col min="5641" max="5641" width="19.5546875" bestFit="1" customWidth="1"/>
    <col min="5642" max="5642" width="10" bestFit="1" customWidth="1"/>
    <col min="5897" max="5897" width="19.5546875" bestFit="1" customWidth="1"/>
    <col min="5898" max="5898" width="10" bestFit="1" customWidth="1"/>
    <col min="6153" max="6153" width="19.5546875" bestFit="1" customWidth="1"/>
    <col min="6154" max="6154" width="10" bestFit="1" customWidth="1"/>
    <col min="6409" max="6409" width="19.5546875" bestFit="1" customWidth="1"/>
    <col min="6410" max="6410" width="10" bestFit="1" customWidth="1"/>
    <col min="6665" max="6665" width="19.5546875" bestFit="1" customWidth="1"/>
    <col min="6666" max="6666" width="10" bestFit="1" customWidth="1"/>
    <col min="6921" max="6921" width="19.5546875" bestFit="1" customWidth="1"/>
    <col min="6922" max="6922" width="10" bestFit="1" customWidth="1"/>
    <col min="7177" max="7177" width="19.5546875" bestFit="1" customWidth="1"/>
    <col min="7178" max="7178" width="10" bestFit="1" customWidth="1"/>
    <col min="7433" max="7433" width="19.5546875" bestFit="1" customWidth="1"/>
    <col min="7434" max="7434" width="10" bestFit="1" customWidth="1"/>
    <col min="7689" max="7689" width="19.5546875" bestFit="1" customWidth="1"/>
    <col min="7690" max="7690" width="10" bestFit="1" customWidth="1"/>
    <col min="7945" max="7945" width="19.5546875" bestFit="1" customWidth="1"/>
    <col min="7946" max="7946" width="10" bestFit="1" customWidth="1"/>
    <col min="8201" max="8201" width="19.5546875" bestFit="1" customWidth="1"/>
    <col min="8202" max="8202" width="10" bestFit="1" customWidth="1"/>
    <col min="8457" max="8457" width="19.5546875" bestFit="1" customWidth="1"/>
    <col min="8458" max="8458" width="10" bestFit="1" customWidth="1"/>
    <col min="8713" max="8713" width="19.5546875" bestFit="1" customWidth="1"/>
    <col min="8714" max="8714" width="10" bestFit="1" customWidth="1"/>
    <col min="8969" max="8969" width="19.5546875" bestFit="1" customWidth="1"/>
    <col min="8970" max="8970" width="10" bestFit="1" customWidth="1"/>
    <col min="9225" max="9225" width="19.5546875" bestFit="1" customWidth="1"/>
    <col min="9226" max="9226" width="10" bestFit="1" customWidth="1"/>
    <col min="9481" max="9481" width="19.5546875" bestFit="1" customWidth="1"/>
    <col min="9482" max="9482" width="10" bestFit="1" customWidth="1"/>
    <col min="9737" max="9737" width="19.5546875" bestFit="1" customWidth="1"/>
    <col min="9738" max="9738" width="10" bestFit="1" customWidth="1"/>
    <col min="9993" max="9993" width="19.5546875" bestFit="1" customWidth="1"/>
    <col min="9994" max="9994" width="10" bestFit="1" customWidth="1"/>
    <col min="10249" max="10249" width="19.5546875" bestFit="1" customWidth="1"/>
    <col min="10250" max="10250" width="10" bestFit="1" customWidth="1"/>
    <col min="10505" max="10505" width="19.5546875" bestFit="1" customWidth="1"/>
    <col min="10506" max="10506" width="10" bestFit="1" customWidth="1"/>
    <col min="10761" max="10761" width="19.5546875" bestFit="1" customWidth="1"/>
    <col min="10762" max="10762" width="10" bestFit="1" customWidth="1"/>
    <col min="11017" max="11017" width="19.5546875" bestFit="1" customWidth="1"/>
    <col min="11018" max="11018" width="10" bestFit="1" customWidth="1"/>
    <col min="11273" max="11273" width="19.5546875" bestFit="1" customWidth="1"/>
    <col min="11274" max="11274" width="10" bestFit="1" customWidth="1"/>
    <col min="11529" max="11529" width="19.5546875" bestFit="1" customWidth="1"/>
    <col min="11530" max="11530" width="10" bestFit="1" customWidth="1"/>
    <col min="11785" max="11785" width="19.5546875" bestFit="1" customWidth="1"/>
    <col min="11786" max="11786" width="10" bestFit="1" customWidth="1"/>
    <col min="12041" max="12041" width="19.5546875" bestFit="1" customWidth="1"/>
    <col min="12042" max="12042" width="10" bestFit="1" customWidth="1"/>
    <col min="12297" max="12297" width="19.5546875" bestFit="1" customWidth="1"/>
    <col min="12298" max="12298" width="10" bestFit="1" customWidth="1"/>
    <col min="12553" max="12553" width="19.5546875" bestFit="1" customWidth="1"/>
    <col min="12554" max="12554" width="10" bestFit="1" customWidth="1"/>
    <col min="12809" max="12809" width="19.5546875" bestFit="1" customWidth="1"/>
    <col min="12810" max="12810" width="10" bestFit="1" customWidth="1"/>
    <col min="13065" max="13065" width="19.5546875" bestFit="1" customWidth="1"/>
    <col min="13066" max="13066" width="10" bestFit="1" customWidth="1"/>
    <col min="13321" max="13321" width="19.5546875" bestFit="1" customWidth="1"/>
    <col min="13322" max="13322" width="10" bestFit="1" customWidth="1"/>
    <col min="13577" max="13577" width="19.5546875" bestFit="1" customWidth="1"/>
    <col min="13578" max="13578" width="10" bestFit="1" customWidth="1"/>
    <col min="13833" max="13833" width="19.5546875" bestFit="1" customWidth="1"/>
    <col min="13834" max="13834" width="10" bestFit="1" customWidth="1"/>
    <col min="14089" max="14089" width="19.5546875" bestFit="1" customWidth="1"/>
    <col min="14090" max="14090" width="10" bestFit="1" customWidth="1"/>
    <col min="14345" max="14345" width="19.5546875" bestFit="1" customWidth="1"/>
    <col min="14346" max="14346" width="10" bestFit="1" customWidth="1"/>
    <col min="14601" max="14601" width="19.5546875" bestFit="1" customWidth="1"/>
    <col min="14602" max="14602" width="10" bestFit="1" customWidth="1"/>
    <col min="14857" max="14857" width="19.5546875" bestFit="1" customWidth="1"/>
    <col min="14858" max="14858" width="10" bestFit="1" customWidth="1"/>
    <col min="15113" max="15113" width="19.5546875" bestFit="1" customWidth="1"/>
    <col min="15114" max="15114" width="10" bestFit="1" customWidth="1"/>
    <col min="15369" max="15369" width="19.5546875" bestFit="1" customWidth="1"/>
    <col min="15370" max="15370" width="10" bestFit="1" customWidth="1"/>
    <col min="15625" max="15625" width="19.5546875" bestFit="1" customWidth="1"/>
    <col min="15626" max="15626" width="10" bestFit="1" customWidth="1"/>
    <col min="15881" max="15881" width="19.5546875" bestFit="1" customWidth="1"/>
    <col min="15882" max="15882" width="10" bestFit="1" customWidth="1"/>
    <col min="16137" max="16137" width="19.5546875" bestFit="1" customWidth="1"/>
    <col min="16138" max="16138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1882359.4</v>
      </c>
    </row>
    <row r="3" spans="1:10" x14ac:dyDescent="0.25">
      <c r="A3">
        <v>1</v>
      </c>
      <c r="B3" t="s">
        <v>14</v>
      </c>
      <c r="C3">
        <v>0.96</v>
      </c>
      <c r="D3">
        <v>45.59</v>
      </c>
      <c r="E3">
        <v>269139544</v>
      </c>
      <c r="F3">
        <v>1882359.4</v>
      </c>
      <c r="G3">
        <v>45.587000000000003</v>
      </c>
      <c r="I3" t="s">
        <v>15</v>
      </c>
      <c r="J3" s="1">
        <f>F17+F42+F43+F44+F45</f>
        <v>65221.8</v>
      </c>
    </row>
    <row r="4" spans="1:10" x14ac:dyDescent="0.25">
      <c r="A4">
        <v>2</v>
      </c>
      <c r="B4" t="s">
        <v>16</v>
      </c>
      <c r="C4">
        <v>2.2599999999999998</v>
      </c>
      <c r="D4">
        <v>0.02</v>
      </c>
      <c r="E4">
        <v>2534.1</v>
      </c>
      <c r="F4">
        <v>767.8</v>
      </c>
      <c r="G4">
        <v>1.9E-2</v>
      </c>
      <c r="I4" t="s">
        <v>17</v>
      </c>
      <c r="J4">
        <v>103.8</v>
      </c>
    </row>
    <row r="5" spans="1:10" x14ac:dyDescent="0.25">
      <c r="A5">
        <v>3</v>
      </c>
      <c r="B5" t="s">
        <v>18</v>
      </c>
      <c r="C5">
        <v>4.92</v>
      </c>
      <c r="D5">
        <v>0.01</v>
      </c>
      <c r="E5">
        <v>1407.1</v>
      </c>
      <c r="F5">
        <v>423.7</v>
      </c>
      <c r="G5">
        <v>0.01</v>
      </c>
      <c r="I5" t="s">
        <v>19</v>
      </c>
      <c r="J5">
        <v>10</v>
      </c>
    </row>
    <row r="6" spans="1:10" x14ac:dyDescent="0.25">
      <c r="A6">
        <v>4</v>
      </c>
      <c r="B6" t="s">
        <v>18</v>
      </c>
      <c r="C6">
        <v>5.78</v>
      </c>
      <c r="D6">
        <v>0</v>
      </c>
      <c r="E6">
        <v>383.1</v>
      </c>
      <c r="F6">
        <v>34.299999999999997</v>
      </c>
      <c r="G6">
        <v>1E-3</v>
      </c>
      <c r="I6" t="s">
        <v>21</v>
      </c>
      <c r="J6">
        <f>J4/10</f>
        <v>10.379999999999999</v>
      </c>
    </row>
    <row r="7" spans="1:10" x14ac:dyDescent="0.25">
      <c r="A7">
        <v>33</v>
      </c>
      <c r="B7" t="s">
        <v>20</v>
      </c>
      <c r="C7">
        <v>5.9</v>
      </c>
      <c r="D7">
        <v>0.01</v>
      </c>
      <c r="E7">
        <v>5944.8</v>
      </c>
      <c r="F7">
        <v>600.79999999999995</v>
      </c>
      <c r="G7">
        <v>1.4999999999999999E-2</v>
      </c>
      <c r="I7" t="s">
        <v>22</v>
      </c>
      <c r="J7">
        <v>1</v>
      </c>
    </row>
    <row r="8" spans="1:10" x14ac:dyDescent="0.25">
      <c r="A8">
        <v>5</v>
      </c>
      <c r="B8" t="s">
        <v>18</v>
      </c>
      <c r="C8">
        <v>6.16</v>
      </c>
      <c r="D8">
        <v>0</v>
      </c>
      <c r="E8">
        <v>792.3</v>
      </c>
      <c r="F8">
        <v>76.5</v>
      </c>
      <c r="G8">
        <v>2E-3</v>
      </c>
      <c r="I8" t="s">
        <v>23</v>
      </c>
      <c r="J8">
        <v>259.5</v>
      </c>
    </row>
    <row r="9" spans="1:10" x14ac:dyDescent="0.25">
      <c r="A9">
        <v>6</v>
      </c>
      <c r="B9" t="s">
        <v>18</v>
      </c>
      <c r="C9">
        <v>6.31</v>
      </c>
      <c r="D9">
        <v>0</v>
      </c>
      <c r="E9">
        <v>277.3</v>
      </c>
      <c r="F9">
        <v>16.5</v>
      </c>
      <c r="G9">
        <v>0</v>
      </c>
      <c r="I9" t="s">
        <v>24</v>
      </c>
      <c r="J9">
        <f>F54-J2-J3</f>
        <v>2181547.3000000003</v>
      </c>
    </row>
    <row r="10" spans="1:10" x14ac:dyDescent="0.25">
      <c r="A10">
        <v>7</v>
      </c>
      <c r="B10" t="s">
        <v>18</v>
      </c>
      <c r="C10">
        <v>6.43</v>
      </c>
      <c r="D10">
        <v>0</v>
      </c>
      <c r="E10">
        <v>494.3</v>
      </c>
      <c r="F10">
        <v>31.5</v>
      </c>
      <c r="G10">
        <v>1E-3</v>
      </c>
      <c r="I10" t="s">
        <v>25</v>
      </c>
      <c r="J10" s="2">
        <f>(J9/J3)*((J6*J7)/J8)</f>
        <v>1.3379252335875427</v>
      </c>
    </row>
    <row r="11" spans="1:10" x14ac:dyDescent="0.25">
      <c r="A11">
        <v>8</v>
      </c>
      <c r="B11" t="s">
        <v>18</v>
      </c>
      <c r="C11">
        <v>6.57</v>
      </c>
      <c r="D11">
        <v>0.08</v>
      </c>
      <c r="E11">
        <v>46505.3</v>
      </c>
      <c r="F11">
        <v>3301.1</v>
      </c>
      <c r="G11">
        <v>0.08</v>
      </c>
      <c r="I11" t="s">
        <v>27</v>
      </c>
      <c r="J11">
        <v>0.72205677543347824</v>
      </c>
    </row>
    <row r="12" spans="1:10" x14ac:dyDescent="0.25">
      <c r="A12">
        <v>34</v>
      </c>
      <c r="B12" t="s">
        <v>18</v>
      </c>
      <c r="C12">
        <v>6.73</v>
      </c>
      <c r="D12">
        <v>0.01</v>
      </c>
      <c r="E12">
        <v>4865.3999999999996</v>
      </c>
      <c r="F12">
        <v>259.60000000000002</v>
      </c>
      <c r="G12">
        <v>6.0000000000000001E-3</v>
      </c>
      <c r="J12" s="2">
        <f>J10*J11</f>
        <v>0.96605797993530418</v>
      </c>
    </row>
    <row r="13" spans="1:10" x14ac:dyDescent="0.25">
      <c r="A13">
        <v>9</v>
      </c>
      <c r="B13" t="s">
        <v>18</v>
      </c>
      <c r="C13">
        <v>6.85</v>
      </c>
      <c r="D13">
        <v>0.01</v>
      </c>
      <c r="E13">
        <v>11678</v>
      </c>
      <c r="F13">
        <v>595.6</v>
      </c>
      <c r="G13">
        <v>1.4E-2</v>
      </c>
    </row>
    <row r="14" spans="1:10" x14ac:dyDescent="0.25">
      <c r="A14">
        <v>35</v>
      </c>
      <c r="B14" t="s">
        <v>26</v>
      </c>
      <c r="C14">
        <v>6.95</v>
      </c>
      <c r="D14">
        <v>0.02</v>
      </c>
      <c r="E14">
        <v>17730.900000000001</v>
      </c>
      <c r="F14">
        <v>962.3</v>
      </c>
      <c r="G14">
        <v>2.3E-2</v>
      </c>
    </row>
    <row r="15" spans="1:10" x14ac:dyDescent="0.25">
      <c r="A15">
        <v>10</v>
      </c>
      <c r="B15" t="s">
        <v>28</v>
      </c>
      <c r="C15">
        <v>7.04</v>
      </c>
      <c r="D15">
        <v>4.46</v>
      </c>
      <c r="E15">
        <v>1233653.3</v>
      </c>
      <c r="F15">
        <v>184258</v>
      </c>
      <c r="G15">
        <v>4.4619999999999997</v>
      </c>
    </row>
    <row r="16" spans="1:10" x14ac:dyDescent="0.25">
      <c r="A16">
        <v>11</v>
      </c>
      <c r="B16" t="s">
        <v>18</v>
      </c>
      <c r="C16">
        <v>7.48</v>
      </c>
      <c r="D16">
        <v>0.06</v>
      </c>
      <c r="E16">
        <v>88368.4</v>
      </c>
      <c r="F16">
        <v>2288.8000000000002</v>
      </c>
      <c r="G16">
        <v>5.5E-2</v>
      </c>
    </row>
    <row r="17" spans="1:7" x14ac:dyDescent="0.25">
      <c r="A17">
        <v>49</v>
      </c>
      <c r="B17" t="s">
        <v>18</v>
      </c>
      <c r="C17">
        <v>7.51</v>
      </c>
      <c r="D17">
        <v>1.1200000000000001</v>
      </c>
      <c r="E17">
        <v>444760.2</v>
      </c>
      <c r="F17">
        <v>46198.7</v>
      </c>
      <c r="G17">
        <v>1.119</v>
      </c>
    </row>
    <row r="18" spans="1:7" x14ac:dyDescent="0.25">
      <c r="A18">
        <v>12</v>
      </c>
      <c r="B18" t="s">
        <v>29</v>
      </c>
      <c r="C18">
        <v>7.71</v>
      </c>
      <c r="D18">
        <v>0.57999999999999996</v>
      </c>
      <c r="E18">
        <v>474873.8</v>
      </c>
      <c r="F18">
        <v>23909.8</v>
      </c>
      <c r="G18">
        <v>0.57899999999999996</v>
      </c>
    </row>
    <row r="19" spans="1:7" x14ac:dyDescent="0.25">
      <c r="A19">
        <v>44</v>
      </c>
      <c r="B19" t="s">
        <v>18</v>
      </c>
      <c r="C19">
        <v>7.75</v>
      </c>
      <c r="D19">
        <v>0.1</v>
      </c>
      <c r="E19">
        <v>529906.4</v>
      </c>
      <c r="F19">
        <v>4268.5</v>
      </c>
      <c r="G19">
        <v>0.10299999999999999</v>
      </c>
    </row>
    <row r="20" spans="1:7" x14ac:dyDescent="0.25">
      <c r="A20">
        <v>45</v>
      </c>
      <c r="B20" t="s">
        <v>18</v>
      </c>
      <c r="C20">
        <v>7.78</v>
      </c>
      <c r="D20">
        <v>2.0499999999999998</v>
      </c>
      <c r="E20">
        <v>2750223.2</v>
      </c>
      <c r="F20">
        <v>84760.3</v>
      </c>
      <c r="G20">
        <v>2.0529999999999999</v>
      </c>
    </row>
    <row r="21" spans="1:7" x14ac:dyDescent="0.25">
      <c r="A21">
        <v>42</v>
      </c>
      <c r="B21" t="s">
        <v>30</v>
      </c>
      <c r="C21">
        <v>7.82</v>
      </c>
      <c r="D21">
        <v>1.68</v>
      </c>
      <c r="E21">
        <v>2929892.1</v>
      </c>
      <c r="F21">
        <v>69376.2</v>
      </c>
      <c r="G21">
        <v>1.68</v>
      </c>
    </row>
    <row r="22" spans="1:7" x14ac:dyDescent="0.25">
      <c r="A22">
        <v>43</v>
      </c>
      <c r="B22" t="s">
        <v>31</v>
      </c>
      <c r="C22">
        <v>8.07</v>
      </c>
      <c r="D22">
        <v>40.89</v>
      </c>
      <c r="E22">
        <v>4761698.5999999996</v>
      </c>
      <c r="F22">
        <v>1688316.6</v>
      </c>
      <c r="G22">
        <v>40.887999999999998</v>
      </c>
    </row>
    <row r="23" spans="1:7" x14ac:dyDescent="0.25">
      <c r="A23">
        <v>46</v>
      </c>
      <c r="B23" t="s">
        <v>32</v>
      </c>
      <c r="C23">
        <v>8.35</v>
      </c>
      <c r="D23">
        <v>1.22</v>
      </c>
      <c r="E23">
        <v>598492.69999999995</v>
      </c>
      <c r="F23">
        <v>50196.5</v>
      </c>
      <c r="G23">
        <v>1.216</v>
      </c>
    </row>
    <row r="24" spans="1:7" x14ac:dyDescent="0.25">
      <c r="A24">
        <v>13</v>
      </c>
      <c r="B24" t="s">
        <v>18</v>
      </c>
      <c r="C24">
        <v>8.59</v>
      </c>
      <c r="D24">
        <v>0.03</v>
      </c>
      <c r="E24">
        <v>151227.79999999999</v>
      </c>
      <c r="F24">
        <v>1441.8</v>
      </c>
      <c r="G24">
        <v>3.5000000000000003E-2</v>
      </c>
    </row>
    <row r="25" spans="1:7" x14ac:dyDescent="0.25">
      <c r="A25">
        <v>47</v>
      </c>
      <c r="B25" t="s">
        <v>18</v>
      </c>
      <c r="C25">
        <v>8.6</v>
      </c>
      <c r="D25">
        <v>0.12</v>
      </c>
      <c r="E25">
        <v>324698.09999999998</v>
      </c>
      <c r="F25">
        <v>4895.2</v>
      </c>
      <c r="G25">
        <v>0.11899999999999999</v>
      </c>
    </row>
    <row r="26" spans="1:7" x14ac:dyDescent="0.25">
      <c r="A26">
        <v>50</v>
      </c>
      <c r="B26" t="s">
        <v>18</v>
      </c>
      <c r="C26">
        <v>8.6199999999999992</v>
      </c>
      <c r="D26">
        <v>0.5</v>
      </c>
      <c r="E26">
        <v>325997.59999999998</v>
      </c>
      <c r="F26">
        <v>20639.7</v>
      </c>
      <c r="G26">
        <v>0.5</v>
      </c>
    </row>
    <row r="27" spans="1:7" x14ac:dyDescent="0.25">
      <c r="A27">
        <v>14</v>
      </c>
      <c r="B27" t="s">
        <v>18</v>
      </c>
      <c r="C27">
        <v>8.8000000000000007</v>
      </c>
      <c r="D27">
        <v>0.04</v>
      </c>
      <c r="E27">
        <v>38667.300000000003</v>
      </c>
      <c r="F27">
        <v>1770.3</v>
      </c>
      <c r="G27">
        <v>4.2999999999999997E-2</v>
      </c>
    </row>
    <row r="28" spans="1:7" x14ac:dyDescent="0.25">
      <c r="A28">
        <v>36</v>
      </c>
      <c r="B28" t="s">
        <v>18</v>
      </c>
      <c r="C28">
        <v>8.9</v>
      </c>
      <c r="D28">
        <v>0.01</v>
      </c>
      <c r="E28">
        <v>4793.1000000000004</v>
      </c>
      <c r="F28">
        <v>228.7</v>
      </c>
      <c r="G28">
        <v>6.0000000000000001E-3</v>
      </c>
    </row>
    <row r="29" spans="1:7" x14ac:dyDescent="0.25">
      <c r="A29">
        <v>15</v>
      </c>
      <c r="B29" t="s">
        <v>18</v>
      </c>
      <c r="C29">
        <v>8.98</v>
      </c>
      <c r="D29">
        <v>0.01</v>
      </c>
      <c r="E29">
        <v>6152.6</v>
      </c>
      <c r="F29">
        <v>310.2</v>
      </c>
      <c r="G29">
        <v>8.0000000000000002E-3</v>
      </c>
    </row>
    <row r="30" spans="1:7" x14ac:dyDescent="0.25">
      <c r="A30">
        <v>39</v>
      </c>
      <c r="B30" t="s">
        <v>18</v>
      </c>
      <c r="C30">
        <v>9.02</v>
      </c>
      <c r="D30">
        <v>0.02</v>
      </c>
      <c r="E30">
        <v>14023.3</v>
      </c>
      <c r="F30">
        <v>674</v>
      </c>
      <c r="G30">
        <v>1.6E-2</v>
      </c>
    </row>
    <row r="31" spans="1:7" x14ac:dyDescent="0.25">
      <c r="A31">
        <v>16</v>
      </c>
      <c r="B31" t="s">
        <v>18</v>
      </c>
      <c r="C31">
        <v>9.1300000000000008</v>
      </c>
      <c r="D31">
        <v>0.01</v>
      </c>
      <c r="E31">
        <v>3235.6</v>
      </c>
      <c r="F31">
        <v>209.3</v>
      </c>
      <c r="G31">
        <v>5.0000000000000001E-3</v>
      </c>
    </row>
    <row r="32" spans="1:7" x14ac:dyDescent="0.25">
      <c r="A32">
        <v>37</v>
      </c>
      <c r="B32" t="s">
        <v>18</v>
      </c>
      <c r="C32">
        <v>9.19</v>
      </c>
      <c r="D32">
        <v>0.01</v>
      </c>
      <c r="E32">
        <v>4905.1000000000004</v>
      </c>
      <c r="F32">
        <v>325.10000000000002</v>
      </c>
      <c r="G32">
        <v>8.0000000000000002E-3</v>
      </c>
    </row>
    <row r="33" spans="1:7" x14ac:dyDescent="0.25">
      <c r="A33">
        <v>38</v>
      </c>
      <c r="B33" t="s">
        <v>33</v>
      </c>
      <c r="C33">
        <v>9.26</v>
      </c>
      <c r="D33">
        <v>0.01</v>
      </c>
      <c r="E33">
        <v>5226.3</v>
      </c>
      <c r="F33">
        <v>296.39999999999998</v>
      </c>
      <c r="G33">
        <v>7.0000000000000001E-3</v>
      </c>
    </row>
    <row r="34" spans="1:7" x14ac:dyDescent="0.25">
      <c r="A34">
        <v>17</v>
      </c>
      <c r="B34" t="s">
        <v>18</v>
      </c>
      <c r="C34">
        <v>9.39</v>
      </c>
      <c r="D34">
        <v>0.05</v>
      </c>
      <c r="E34">
        <v>78599.199999999997</v>
      </c>
      <c r="F34">
        <v>2122.5</v>
      </c>
      <c r="G34">
        <v>5.0999999999999997E-2</v>
      </c>
    </row>
    <row r="35" spans="1:7" x14ac:dyDescent="0.25">
      <c r="A35">
        <v>48</v>
      </c>
      <c r="B35" t="s">
        <v>18</v>
      </c>
      <c r="C35">
        <v>9.42</v>
      </c>
      <c r="D35">
        <v>0.28999999999999998</v>
      </c>
      <c r="E35">
        <v>144409.79999999999</v>
      </c>
      <c r="F35">
        <v>11801.1</v>
      </c>
      <c r="G35">
        <v>0.28599999999999998</v>
      </c>
    </row>
    <row r="36" spans="1:7" x14ac:dyDescent="0.25">
      <c r="A36">
        <v>18</v>
      </c>
      <c r="B36" t="s">
        <v>34</v>
      </c>
      <c r="C36">
        <v>9.65</v>
      </c>
      <c r="D36">
        <v>0.06</v>
      </c>
      <c r="E36">
        <v>17394.900000000001</v>
      </c>
      <c r="F36">
        <v>2496.1999999999998</v>
      </c>
      <c r="G36">
        <v>0.06</v>
      </c>
    </row>
    <row r="37" spans="1:7" x14ac:dyDescent="0.25">
      <c r="A37">
        <v>40</v>
      </c>
      <c r="B37" t="s">
        <v>18</v>
      </c>
      <c r="C37">
        <v>9.83</v>
      </c>
      <c r="D37">
        <v>0.01</v>
      </c>
      <c r="E37">
        <v>4593.3</v>
      </c>
      <c r="F37">
        <v>382.8</v>
      </c>
      <c r="G37">
        <v>8.9999999999999993E-3</v>
      </c>
    </row>
    <row r="38" spans="1:7" x14ac:dyDescent="0.25">
      <c r="A38">
        <v>19</v>
      </c>
      <c r="B38" t="s">
        <v>18</v>
      </c>
      <c r="C38">
        <v>9.9600000000000009</v>
      </c>
      <c r="D38">
        <v>0.02</v>
      </c>
      <c r="E38">
        <v>12044.1</v>
      </c>
      <c r="F38">
        <v>790.7</v>
      </c>
      <c r="G38">
        <v>1.9E-2</v>
      </c>
    </row>
    <row r="39" spans="1:7" x14ac:dyDescent="0.25">
      <c r="A39">
        <v>20</v>
      </c>
      <c r="B39" t="s">
        <v>18</v>
      </c>
      <c r="C39">
        <v>10.15</v>
      </c>
      <c r="D39">
        <v>0.06</v>
      </c>
      <c r="E39">
        <v>16123.6</v>
      </c>
      <c r="F39">
        <v>2647.7</v>
      </c>
      <c r="G39">
        <v>6.4000000000000001E-2</v>
      </c>
    </row>
    <row r="40" spans="1:7" x14ac:dyDescent="0.25">
      <c r="A40">
        <v>21</v>
      </c>
      <c r="B40" t="s">
        <v>18</v>
      </c>
      <c r="C40">
        <v>10.56</v>
      </c>
      <c r="D40">
        <v>7.0000000000000007E-2</v>
      </c>
      <c r="E40">
        <v>20085.900000000001</v>
      </c>
      <c r="F40">
        <v>3058.1</v>
      </c>
      <c r="G40">
        <v>7.3999999999999996E-2</v>
      </c>
    </row>
    <row r="41" spans="1:7" x14ac:dyDescent="0.25">
      <c r="A41">
        <v>22</v>
      </c>
      <c r="B41" t="s">
        <v>35</v>
      </c>
      <c r="C41">
        <v>10.77</v>
      </c>
      <c r="D41">
        <v>0.06</v>
      </c>
      <c r="E41">
        <v>25131.4</v>
      </c>
      <c r="F41">
        <v>2353.3000000000002</v>
      </c>
      <c r="G41">
        <v>5.7000000000000002E-2</v>
      </c>
    </row>
    <row r="42" spans="1:7" x14ac:dyDescent="0.25">
      <c r="A42">
        <v>23</v>
      </c>
      <c r="B42" t="s">
        <v>18</v>
      </c>
      <c r="C42" s="1">
        <v>10.97</v>
      </c>
      <c r="D42">
        <v>0.15</v>
      </c>
      <c r="E42">
        <v>42324</v>
      </c>
      <c r="F42">
        <v>6044.9</v>
      </c>
      <c r="G42">
        <v>0.14599999999999999</v>
      </c>
    </row>
    <row r="43" spans="1:7" x14ac:dyDescent="0.25">
      <c r="A43">
        <v>24</v>
      </c>
      <c r="B43" t="s">
        <v>18</v>
      </c>
      <c r="C43" s="1">
        <v>11.07</v>
      </c>
      <c r="D43">
        <v>0.19</v>
      </c>
      <c r="E43">
        <v>47042</v>
      </c>
      <c r="F43">
        <v>7862.4</v>
      </c>
      <c r="G43">
        <v>0.19</v>
      </c>
    </row>
    <row r="44" spans="1:7" x14ac:dyDescent="0.25">
      <c r="A44">
        <v>25</v>
      </c>
      <c r="B44" t="s">
        <v>18</v>
      </c>
      <c r="C44" s="1">
        <v>11.47</v>
      </c>
      <c r="D44">
        <v>0.04</v>
      </c>
      <c r="E44">
        <v>11517.7</v>
      </c>
      <c r="F44">
        <v>1759.9</v>
      </c>
      <c r="G44">
        <v>4.2999999999999997E-2</v>
      </c>
    </row>
    <row r="45" spans="1:7" x14ac:dyDescent="0.25">
      <c r="A45">
        <v>26</v>
      </c>
      <c r="B45" t="s">
        <v>18</v>
      </c>
      <c r="C45" s="1">
        <v>11.73</v>
      </c>
      <c r="D45">
        <v>0.08</v>
      </c>
      <c r="E45">
        <v>19139.3</v>
      </c>
      <c r="F45">
        <v>3355.9</v>
      </c>
      <c r="G45">
        <v>8.1000000000000003E-2</v>
      </c>
    </row>
    <row r="46" spans="1:7" x14ac:dyDescent="0.25">
      <c r="A46">
        <v>27</v>
      </c>
      <c r="B46" t="s">
        <v>18</v>
      </c>
      <c r="C46">
        <v>12.17</v>
      </c>
      <c r="D46">
        <v>0.12</v>
      </c>
      <c r="E46">
        <v>20482.099999999999</v>
      </c>
      <c r="F46">
        <v>4984.5</v>
      </c>
      <c r="G46">
        <v>0.121</v>
      </c>
    </row>
    <row r="47" spans="1:7" x14ac:dyDescent="0.25">
      <c r="A47">
        <v>28</v>
      </c>
      <c r="B47" t="s">
        <v>18</v>
      </c>
      <c r="C47">
        <v>12.5</v>
      </c>
      <c r="D47">
        <v>0</v>
      </c>
      <c r="E47">
        <v>3793.3</v>
      </c>
      <c r="F47">
        <v>126.8</v>
      </c>
      <c r="G47">
        <v>3.0000000000000001E-3</v>
      </c>
    </row>
    <row r="48" spans="1:7" x14ac:dyDescent="0.25">
      <c r="A48">
        <v>41</v>
      </c>
      <c r="B48" t="s">
        <v>18</v>
      </c>
      <c r="C48">
        <v>12.55</v>
      </c>
      <c r="D48">
        <v>7.0000000000000007E-2</v>
      </c>
      <c r="E48">
        <v>13752.7</v>
      </c>
      <c r="F48">
        <v>3042.3</v>
      </c>
      <c r="G48">
        <v>7.3999999999999996E-2</v>
      </c>
    </row>
    <row r="49" spans="1:7" x14ac:dyDescent="0.25">
      <c r="A49">
        <v>29</v>
      </c>
      <c r="B49" t="s">
        <v>18</v>
      </c>
      <c r="C49">
        <v>13.07</v>
      </c>
      <c r="D49">
        <v>0.01</v>
      </c>
      <c r="E49">
        <v>2839.6</v>
      </c>
      <c r="F49">
        <v>435.6</v>
      </c>
      <c r="G49">
        <v>1.0999999999999999E-2</v>
      </c>
    </row>
    <row r="50" spans="1:7" x14ac:dyDescent="0.25">
      <c r="A50">
        <v>30</v>
      </c>
      <c r="B50" t="s">
        <v>18</v>
      </c>
      <c r="C50">
        <v>13.21</v>
      </c>
      <c r="D50">
        <v>0.02</v>
      </c>
      <c r="E50">
        <v>3856.5</v>
      </c>
      <c r="F50">
        <v>728.9</v>
      </c>
      <c r="G50">
        <v>1.7999999999999999E-2</v>
      </c>
    </row>
    <row r="51" spans="1:7" x14ac:dyDescent="0.25">
      <c r="A51">
        <v>31</v>
      </c>
      <c r="B51" t="s">
        <v>18</v>
      </c>
      <c r="C51">
        <v>13.52</v>
      </c>
      <c r="D51">
        <v>0.01</v>
      </c>
      <c r="E51">
        <v>3525.4</v>
      </c>
      <c r="F51">
        <v>590.20000000000005</v>
      </c>
      <c r="G51">
        <v>1.4E-2</v>
      </c>
    </row>
    <row r="52" spans="1:7" x14ac:dyDescent="0.25">
      <c r="A52">
        <v>32</v>
      </c>
      <c r="B52" t="s">
        <v>18</v>
      </c>
      <c r="C52">
        <v>14.09</v>
      </c>
      <c r="D52">
        <v>0.02</v>
      </c>
      <c r="E52">
        <v>2754.7</v>
      </c>
      <c r="F52">
        <v>751.6</v>
      </c>
      <c r="G52">
        <v>1.7999999999999999E-2</v>
      </c>
    </row>
    <row r="53" spans="1:7" x14ac:dyDescent="0.25">
      <c r="A53" t="s">
        <v>7</v>
      </c>
      <c r="B53" t="s">
        <v>7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</row>
    <row r="54" spans="1:7" x14ac:dyDescent="0.25">
      <c r="A54" t="s">
        <v>36</v>
      </c>
      <c r="B54" t="s">
        <v>37</v>
      </c>
      <c r="C54" t="s">
        <v>37</v>
      </c>
      <c r="D54">
        <v>100</v>
      </c>
      <c r="E54">
        <v>284412361.60000002</v>
      </c>
      <c r="F54">
        <v>4129128.5</v>
      </c>
      <c r="G54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3BF2-E3D4-479D-88C3-8874EF60E026}">
  <dimension ref="A1:J59"/>
  <sheetViews>
    <sheetView showZeros="0" topLeftCell="F1" workbookViewId="0">
      <selection activeCell="J11" sqref="J11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0" max="10" width="11.88671875" bestFit="1" customWidth="1"/>
    <col min="265" max="265" width="19.5546875" bestFit="1" customWidth="1"/>
    <col min="266" max="266" width="11.88671875" bestFit="1" customWidth="1"/>
    <col min="521" max="521" width="19.5546875" bestFit="1" customWidth="1"/>
    <col min="522" max="522" width="11.88671875" bestFit="1" customWidth="1"/>
    <col min="777" max="777" width="19.5546875" bestFit="1" customWidth="1"/>
    <col min="778" max="778" width="11.88671875" bestFit="1" customWidth="1"/>
    <col min="1033" max="1033" width="19.5546875" bestFit="1" customWidth="1"/>
    <col min="1034" max="1034" width="11.88671875" bestFit="1" customWidth="1"/>
    <col min="1289" max="1289" width="19.5546875" bestFit="1" customWidth="1"/>
    <col min="1290" max="1290" width="11.88671875" bestFit="1" customWidth="1"/>
    <col min="1545" max="1545" width="19.5546875" bestFit="1" customWidth="1"/>
    <col min="1546" max="1546" width="11.88671875" bestFit="1" customWidth="1"/>
    <col min="1801" max="1801" width="19.5546875" bestFit="1" customWidth="1"/>
    <col min="1802" max="1802" width="11.88671875" bestFit="1" customWidth="1"/>
    <col min="2057" max="2057" width="19.5546875" bestFit="1" customWidth="1"/>
    <col min="2058" max="2058" width="11.88671875" bestFit="1" customWidth="1"/>
    <col min="2313" max="2313" width="19.5546875" bestFit="1" customWidth="1"/>
    <col min="2314" max="2314" width="11.88671875" bestFit="1" customWidth="1"/>
    <col min="2569" max="2569" width="19.5546875" bestFit="1" customWidth="1"/>
    <col min="2570" max="2570" width="11.88671875" bestFit="1" customWidth="1"/>
    <col min="2825" max="2825" width="19.5546875" bestFit="1" customWidth="1"/>
    <col min="2826" max="2826" width="11.88671875" bestFit="1" customWidth="1"/>
    <col min="3081" max="3081" width="19.5546875" bestFit="1" customWidth="1"/>
    <col min="3082" max="3082" width="11.88671875" bestFit="1" customWidth="1"/>
    <col min="3337" max="3337" width="19.5546875" bestFit="1" customWidth="1"/>
    <col min="3338" max="3338" width="11.88671875" bestFit="1" customWidth="1"/>
    <col min="3593" max="3593" width="19.5546875" bestFit="1" customWidth="1"/>
    <col min="3594" max="3594" width="11.88671875" bestFit="1" customWidth="1"/>
    <col min="3849" max="3849" width="19.5546875" bestFit="1" customWidth="1"/>
    <col min="3850" max="3850" width="11.88671875" bestFit="1" customWidth="1"/>
    <col min="4105" max="4105" width="19.5546875" bestFit="1" customWidth="1"/>
    <col min="4106" max="4106" width="11.88671875" bestFit="1" customWidth="1"/>
    <col min="4361" max="4361" width="19.5546875" bestFit="1" customWidth="1"/>
    <col min="4362" max="4362" width="11.88671875" bestFit="1" customWidth="1"/>
    <col min="4617" max="4617" width="19.5546875" bestFit="1" customWidth="1"/>
    <col min="4618" max="4618" width="11.88671875" bestFit="1" customWidth="1"/>
    <col min="4873" max="4873" width="19.5546875" bestFit="1" customWidth="1"/>
    <col min="4874" max="4874" width="11.88671875" bestFit="1" customWidth="1"/>
    <col min="5129" max="5129" width="19.5546875" bestFit="1" customWidth="1"/>
    <col min="5130" max="5130" width="11.88671875" bestFit="1" customWidth="1"/>
    <col min="5385" max="5385" width="19.5546875" bestFit="1" customWidth="1"/>
    <col min="5386" max="5386" width="11.88671875" bestFit="1" customWidth="1"/>
    <col min="5641" max="5641" width="19.5546875" bestFit="1" customWidth="1"/>
    <col min="5642" max="5642" width="11.88671875" bestFit="1" customWidth="1"/>
    <col min="5897" max="5897" width="19.5546875" bestFit="1" customWidth="1"/>
    <col min="5898" max="5898" width="11.88671875" bestFit="1" customWidth="1"/>
    <col min="6153" max="6153" width="19.5546875" bestFit="1" customWidth="1"/>
    <col min="6154" max="6154" width="11.88671875" bestFit="1" customWidth="1"/>
    <col min="6409" max="6409" width="19.5546875" bestFit="1" customWidth="1"/>
    <col min="6410" max="6410" width="11.88671875" bestFit="1" customWidth="1"/>
    <col min="6665" max="6665" width="19.5546875" bestFit="1" customWidth="1"/>
    <col min="6666" max="6666" width="11.88671875" bestFit="1" customWidth="1"/>
    <col min="6921" max="6921" width="19.5546875" bestFit="1" customWidth="1"/>
    <col min="6922" max="6922" width="11.88671875" bestFit="1" customWidth="1"/>
    <col min="7177" max="7177" width="19.5546875" bestFit="1" customWidth="1"/>
    <col min="7178" max="7178" width="11.88671875" bestFit="1" customWidth="1"/>
    <col min="7433" max="7433" width="19.5546875" bestFit="1" customWidth="1"/>
    <col min="7434" max="7434" width="11.88671875" bestFit="1" customWidth="1"/>
    <col min="7689" max="7689" width="19.5546875" bestFit="1" customWidth="1"/>
    <col min="7690" max="7690" width="11.88671875" bestFit="1" customWidth="1"/>
    <col min="7945" max="7945" width="19.5546875" bestFit="1" customWidth="1"/>
    <col min="7946" max="7946" width="11.88671875" bestFit="1" customWidth="1"/>
    <col min="8201" max="8201" width="19.5546875" bestFit="1" customWidth="1"/>
    <col min="8202" max="8202" width="11.88671875" bestFit="1" customWidth="1"/>
    <col min="8457" max="8457" width="19.5546875" bestFit="1" customWidth="1"/>
    <col min="8458" max="8458" width="11.88671875" bestFit="1" customWidth="1"/>
    <col min="8713" max="8713" width="19.5546875" bestFit="1" customWidth="1"/>
    <col min="8714" max="8714" width="11.88671875" bestFit="1" customWidth="1"/>
    <col min="8969" max="8969" width="19.5546875" bestFit="1" customWidth="1"/>
    <col min="8970" max="8970" width="11.88671875" bestFit="1" customWidth="1"/>
    <col min="9225" max="9225" width="19.5546875" bestFit="1" customWidth="1"/>
    <col min="9226" max="9226" width="11.88671875" bestFit="1" customWidth="1"/>
    <col min="9481" max="9481" width="19.5546875" bestFit="1" customWidth="1"/>
    <col min="9482" max="9482" width="11.88671875" bestFit="1" customWidth="1"/>
    <col min="9737" max="9737" width="19.5546875" bestFit="1" customWidth="1"/>
    <col min="9738" max="9738" width="11.88671875" bestFit="1" customWidth="1"/>
    <col min="9993" max="9993" width="19.5546875" bestFit="1" customWidth="1"/>
    <col min="9994" max="9994" width="11.88671875" bestFit="1" customWidth="1"/>
    <col min="10249" max="10249" width="19.5546875" bestFit="1" customWidth="1"/>
    <col min="10250" max="10250" width="11.88671875" bestFit="1" customWidth="1"/>
    <col min="10505" max="10505" width="19.5546875" bestFit="1" customWidth="1"/>
    <col min="10506" max="10506" width="11.88671875" bestFit="1" customWidth="1"/>
    <col min="10761" max="10761" width="19.5546875" bestFit="1" customWidth="1"/>
    <col min="10762" max="10762" width="11.88671875" bestFit="1" customWidth="1"/>
    <col min="11017" max="11017" width="19.5546875" bestFit="1" customWidth="1"/>
    <col min="11018" max="11018" width="11.88671875" bestFit="1" customWidth="1"/>
    <col min="11273" max="11273" width="19.5546875" bestFit="1" customWidth="1"/>
    <col min="11274" max="11274" width="11.88671875" bestFit="1" customWidth="1"/>
    <col min="11529" max="11529" width="19.5546875" bestFit="1" customWidth="1"/>
    <col min="11530" max="11530" width="11.88671875" bestFit="1" customWidth="1"/>
    <col min="11785" max="11785" width="19.5546875" bestFit="1" customWidth="1"/>
    <col min="11786" max="11786" width="11.88671875" bestFit="1" customWidth="1"/>
    <col min="12041" max="12041" width="19.5546875" bestFit="1" customWidth="1"/>
    <col min="12042" max="12042" width="11.88671875" bestFit="1" customWidth="1"/>
    <col min="12297" max="12297" width="19.5546875" bestFit="1" customWidth="1"/>
    <col min="12298" max="12298" width="11.88671875" bestFit="1" customWidth="1"/>
    <col min="12553" max="12553" width="19.5546875" bestFit="1" customWidth="1"/>
    <col min="12554" max="12554" width="11.88671875" bestFit="1" customWidth="1"/>
    <col min="12809" max="12809" width="19.5546875" bestFit="1" customWidth="1"/>
    <col min="12810" max="12810" width="11.88671875" bestFit="1" customWidth="1"/>
    <col min="13065" max="13065" width="19.5546875" bestFit="1" customWidth="1"/>
    <col min="13066" max="13066" width="11.88671875" bestFit="1" customWidth="1"/>
    <col min="13321" max="13321" width="19.5546875" bestFit="1" customWidth="1"/>
    <col min="13322" max="13322" width="11.88671875" bestFit="1" customWidth="1"/>
    <col min="13577" max="13577" width="19.5546875" bestFit="1" customWidth="1"/>
    <col min="13578" max="13578" width="11.88671875" bestFit="1" customWidth="1"/>
    <col min="13833" max="13833" width="19.5546875" bestFit="1" customWidth="1"/>
    <col min="13834" max="13834" width="11.88671875" bestFit="1" customWidth="1"/>
    <col min="14089" max="14089" width="19.5546875" bestFit="1" customWidth="1"/>
    <col min="14090" max="14090" width="11.88671875" bestFit="1" customWidth="1"/>
    <col min="14345" max="14345" width="19.5546875" bestFit="1" customWidth="1"/>
    <col min="14346" max="14346" width="11.88671875" bestFit="1" customWidth="1"/>
    <col min="14601" max="14601" width="19.5546875" bestFit="1" customWidth="1"/>
    <col min="14602" max="14602" width="11.88671875" bestFit="1" customWidth="1"/>
    <col min="14857" max="14857" width="19.5546875" bestFit="1" customWidth="1"/>
    <col min="14858" max="14858" width="11.88671875" bestFit="1" customWidth="1"/>
    <col min="15113" max="15113" width="19.5546875" bestFit="1" customWidth="1"/>
    <col min="15114" max="15114" width="11.88671875" bestFit="1" customWidth="1"/>
    <col min="15369" max="15369" width="19.5546875" bestFit="1" customWidth="1"/>
    <col min="15370" max="15370" width="11.88671875" bestFit="1" customWidth="1"/>
    <col min="15625" max="15625" width="19.5546875" bestFit="1" customWidth="1"/>
    <col min="15626" max="15626" width="11.88671875" bestFit="1" customWidth="1"/>
    <col min="15881" max="15881" width="19.5546875" bestFit="1" customWidth="1"/>
    <col min="15882" max="15882" width="11.88671875" bestFit="1" customWidth="1"/>
    <col min="16137" max="16137" width="19.5546875" bestFit="1" customWidth="1"/>
    <col min="16138" max="16138" width="11.8867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2631704.2999999998</v>
      </c>
    </row>
    <row r="3" spans="1:10" x14ac:dyDescent="0.25">
      <c r="A3">
        <v>1</v>
      </c>
      <c r="B3" t="s">
        <v>14</v>
      </c>
      <c r="C3">
        <v>0.96</v>
      </c>
      <c r="D3">
        <v>84.54</v>
      </c>
      <c r="E3">
        <v>389991684.69999999</v>
      </c>
      <c r="F3">
        <v>2631704.2999999998</v>
      </c>
      <c r="G3">
        <v>84.543000000000006</v>
      </c>
      <c r="I3" t="s">
        <v>15</v>
      </c>
      <c r="J3" s="1">
        <f>F16+F47+F48+F49+F50+F51</f>
        <v>98324.5</v>
      </c>
    </row>
    <row r="4" spans="1:10" x14ac:dyDescent="0.25">
      <c r="A4">
        <v>2</v>
      </c>
      <c r="B4" t="s">
        <v>18</v>
      </c>
      <c r="C4">
        <v>2.37</v>
      </c>
      <c r="D4">
        <v>0.01</v>
      </c>
      <c r="E4">
        <v>773</v>
      </c>
      <c r="F4">
        <v>260.89999999999998</v>
      </c>
      <c r="G4">
        <v>8.0000000000000002E-3</v>
      </c>
      <c r="I4" t="s">
        <v>17</v>
      </c>
      <c r="J4">
        <v>103.8</v>
      </c>
    </row>
    <row r="5" spans="1:10" x14ac:dyDescent="0.25">
      <c r="A5">
        <v>3</v>
      </c>
      <c r="B5" t="s">
        <v>20</v>
      </c>
      <c r="C5">
        <v>5.93</v>
      </c>
      <c r="D5">
        <v>0.01</v>
      </c>
      <c r="E5">
        <v>2552.3000000000002</v>
      </c>
      <c r="F5">
        <v>273</v>
      </c>
      <c r="G5">
        <v>8.9999999999999993E-3</v>
      </c>
      <c r="I5" t="s">
        <v>19</v>
      </c>
      <c r="J5">
        <v>10</v>
      </c>
    </row>
    <row r="6" spans="1:10" x14ac:dyDescent="0.25">
      <c r="A6">
        <v>4</v>
      </c>
      <c r="B6" t="s">
        <v>18</v>
      </c>
      <c r="C6">
        <v>6.11</v>
      </c>
      <c r="D6">
        <v>0.01</v>
      </c>
      <c r="E6">
        <v>3177.9</v>
      </c>
      <c r="F6">
        <v>267.7</v>
      </c>
      <c r="G6">
        <v>8.9999999999999993E-3</v>
      </c>
      <c r="I6" t="s">
        <v>21</v>
      </c>
      <c r="J6">
        <f>J4/J5</f>
        <v>10.379999999999999</v>
      </c>
    </row>
    <row r="7" spans="1:10" x14ac:dyDescent="0.25">
      <c r="A7">
        <v>35</v>
      </c>
      <c r="B7" t="s">
        <v>18</v>
      </c>
      <c r="C7">
        <v>6.37</v>
      </c>
      <c r="D7">
        <v>0</v>
      </c>
      <c r="E7">
        <v>318.8</v>
      </c>
      <c r="F7">
        <v>28.6</v>
      </c>
      <c r="G7">
        <v>1E-3</v>
      </c>
      <c r="I7" t="s">
        <v>22</v>
      </c>
      <c r="J7">
        <v>1</v>
      </c>
    </row>
    <row r="8" spans="1:10" x14ac:dyDescent="0.25">
      <c r="A8">
        <v>5</v>
      </c>
      <c r="B8" t="s">
        <v>18</v>
      </c>
      <c r="C8">
        <v>6.56</v>
      </c>
      <c r="D8">
        <v>0</v>
      </c>
      <c r="E8">
        <v>597.20000000000005</v>
      </c>
      <c r="F8">
        <v>25.5</v>
      </c>
      <c r="G8">
        <v>1E-3</v>
      </c>
      <c r="I8" t="s">
        <v>23</v>
      </c>
      <c r="J8">
        <v>259.5</v>
      </c>
    </row>
    <row r="9" spans="1:10" x14ac:dyDescent="0.25">
      <c r="A9">
        <v>36</v>
      </c>
      <c r="B9" t="s">
        <v>18</v>
      </c>
      <c r="C9">
        <v>6.62</v>
      </c>
      <c r="D9">
        <v>0.02</v>
      </c>
      <c r="E9">
        <v>11859.8</v>
      </c>
      <c r="F9">
        <v>574.1</v>
      </c>
      <c r="G9">
        <v>1.7999999999999999E-2</v>
      </c>
      <c r="I9" t="s">
        <v>24</v>
      </c>
      <c r="J9">
        <f>F59-J2-J3</f>
        <v>382843.10000000009</v>
      </c>
    </row>
    <row r="10" spans="1:10" x14ac:dyDescent="0.25">
      <c r="A10">
        <v>37</v>
      </c>
      <c r="B10" t="s">
        <v>18</v>
      </c>
      <c r="C10">
        <v>6.74</v>
      </c>
      <c r="D10">
        <v>0</v>
      </c>
      <c r="E10">
        <v>1191</v>
      </c>
      <c r="F10">
        <v>80.3</v>
      </c>
      <c r="G10">
        <v>3.0000000000000001E-3</v>
      </c>
      <c r="I10" t="s">
        <v>25</v>
      </c>
      <c r="J10" s="2">
        <f>(J9/J3)*((J6*J7)/J8)</f>
        <v>0.15574677725287187</v>
      </c>
    </row>
    <row r="11" spans="1:10" x14ac:dyDescent="0.25">
      <c r="A11">
        <v>6</v>
      </c>
      <c r="B11" t="s">
        <v>26</v>
      </c>
      <c r="C11">
        <v>6.88</v>
      </c>
      <c r="D11">
        <v>0.01</v>
      </c>
      <c r="E11">
        <v>5060.6000000000004</v>
      </c>
      <c r="F11">
        <v>206.2</v>
      </c>
      <c r="G11">
        <v>7.0000000000000001E-3</v>
      </c>
      <c r="I11" t="s">
        <v>27</v>
      </c>
      <c r="J11">
        <v>1.0885297771007398</v>
      </c>
    </row>
    <row r="12" spans="1:10" x14ac:dyDescent="0.25">
      <c r="A12">
        <v>38</v>
      </c>
      <c r="B12" t="s">
        <v>28</v>
      </c>
      <c r="C12">
        <v>6.97</v>
      </c>
      <c r="D12">
        <v>0.01</v>
      </c>
      <c r="E12">
        <v>5472.6</v>
      </c>
      <c r="F12">
        <v>262.10000000000002</v>
      </c>
      <c r="G12">
        <v>8.0000000000000002E-3</v>
      </c>
      <c r="J12" s="2">
        <f>J10*J11</f>
        <v>0.16953500472722718</v>
      </c>
    </row>
    <row r="13" spans="1:10" x14ac:dyDescent="0.25">
      <c r="A13">
        <v>39</v>
      </c>
      <c r="B13" t="s">
        <v>18</v>
      </c>
      <c r="C13">
        <v>7.08</v>
      </c>
      <c r="D13">
        <v>0</v>
      </c>
      <c r="E13">
        <v>423.4</v>
      </c>
      <c r="F13">
        <v>14.2</v>
      </c>
      <c r="G13">
        <v>0</v>
      </c>
    </row>
    <row r="14" spans="1:10" x14ac:dyDescent="0.25">
      <c r="A14">
        <v>7</v>
      </c>
      <c r="B14" t="s">
        <v>18</v>
      </c>
      <c r="C14">
        <v>7.14</v>
      </c>
      <c r="D14">
        <v>1.18</v>
      </c>
      <c r="E14">
        <v>392062</v>
      </c>
      <c r="F14">
        <v>36769</v>
      </c>
      <c r="G14">
        <v>1.181</v>
      </c>
    </row>
    <row r="15" spans="1:10" x14ac:dyDescent="0.25">
      <c r="A15">
        <v>40</v>
      </c>
      <c r="B15" t="s">
        <v>18</v>
      </c>
      <c r="C15">
        <v>7.4</v>
      </c>
      <c r="D15">
        <v>0</v>
      </c>
      <c r="E15">
        <v>2028.3</v>
      </c>
      <c r="F15">
        <v>29.2</v>
      </c>
      <c r="G15">
        <v>1E-3</v>
      </c>
    </row>
    <row r="16" spans="1:10" x14ac:dyDescent="0.25">
      <c r="A16">
        <v>8</v>
      </c>
      <c r="B16" t="s">
        <v>18</v>
      </c>
      <c r="C16">
        <v>7.47</v>
      </c>
      <c r="D16">
        <v>2.61</v>
      </c>
      <c r="E16">
        <v>694100.4</v>
      </c>
      <c r="F16">
        <v>81231</v>
      </c>
      <c r="G16">
        <v>2.61</v>
      </c>
    </row>
    <row r="17" spans="1:7" x14ac:dyDescent="0.25">
      <c r="A17">
        <v>9</v>
      </c>
      <c r="B17" t="s">
        <v>29</v>
      </c>
      <c r="C17">
        <v>7.77</v>
      </c>
      <c r="D17">
        <v>3.45</v>
      </c>
      <c r="E17">
        <v>2177417.5</v>
      </c>
      <c r="F17">
        <v>107360.6</v>
      </c>
      <c r="G17">
        <v>3.4489999999999998</v>
      </c>
    </row>
    <row r="18" spans="1:7" x14ac:dyDescent="0.25">
      <c r="A18">
        <v>31</v>
      </c>
      <c r="B18" t="s">
        <v>30</v>
      </c>
      <c r="C18">
        <v>7.84</v>
      </c>
      <c r="D18">
        <v>1.1499999999999999</v>
      </c>
      <c r="E18">
        <v>1401534.5</v>
      </c>
      <c r="F18">
        <v>35707.199999999997</v>
      </c>
      <c r="G18">
        <v>1.147</v>
      </c>
    </row>
    <row r="19" spans="1:7" x14ac:dyDescent="0.25">
      <c r="A19">
        <v>32</v>
      </c>
      <c r="B19" t="s">
        <v>18</v>
      </c>
      <c r="C19">
        <v>7.87</v>
      </c>
      <c r="D19">
        <v>1.2</v>
      </c>
      <c r="E19">
        <v>1150090.3999999999</v>
      </c>
      <c r="F19">
        <v>37498.199999999997</v>
      </c>
      <c r="G19">
        <v>1.2050000000000001</v>
      </c>
    </row>
    <row r="20" spans="1:7" x14ac:dyDescent="0.25">
      <c r="A20">
        <v>33</v>
      </c>
      <c r="B20" t="s">
        <v>18</v>
      </c>
      <c r="C20">
        <v>7.9</v>
      </c>
      <c r="D20">
        <v>0.15</v>
      </c>
      <c r="E20">
        <v>769048.7</v>
      </c>
      <c r="F20">
        <v>4775.1000000000004</v>
      </c>
      <c r="G20">
        <v>0.153</v>
      </c>
    </row>
    <row r="21" spans="1:7" x14ac:dyDescent="0.25">
      <c r="A21">
        <v>34</v>
      </c>
      <c r="B21" t="s">
        <v>18</v>
      </c>
      <c r="C21">
        <v>7.91</v>
      </c>
      <c r="D21">
        <v>3.71</v>
      </c>
      <c r="E21">
        <v>1298022.1000000001</v>
      </c>
      <c r="F21">
        <v>115386.2</v>
      </c>
      <c r="G21">
        <v>3.7069999999999999</v>
      </c>
    </row>
    <row r="22" spans="1:7" x14ac:dyDescent="0.25">
      <c r="A22">
        <v>10</v>
      </c>
      <c r="B22" t="s">
        <v>31</v>
      </c>
      <c r="C22">
        <v>8.15</v>
      </c>
      <c r="D22">
        <v>0.72</v>
      </c>
      <c r="E22">
        <v>373114.6</v>
      </c>
      <c r="F22">
        <v>22333.200000000001</v>
      </c>
      <c r="G22">
        <v>0.71699999999999997</v>
      </c>
    </row>
    <row r="23" spans="1:7" x14ac:dyDescent="0.25">
      <c r="A23">
        <v>41</v>
      </c>
      <c r="B23" t="s">
        <v>18</v>
      </c>
      <c r="C23">
        <v>8.32</v>
      </c>
      <c r="D23">
        <v>0.01</v>
      </c>
      <c r="E23">
        <v>8366.5</v>
      </c>
      <c r="F23">
        <v>414.9</v>
      </c>
      <c r="G23">
        <v>1.2999999999999999E-2</v>
      </c>
    </row>
    <row r="24" spans="1:7" x14ac:dyDescent="0.25">
      <c r="A24">
        <v>11</v>
      </c>
      <c r="B24" t="s">
        <v>32</v>
      </c>
      <c r="C24">
        <v>8.4</v>
      </c>
      <c r="D24">
        <v>0</v>
      </c>
      <c r="E24">
        <v>2328.5</v>
      </c>
      <c r="F24">
        <v>64</v>
      </c>
      <c r="G24">
        <v>2E-3</v>
      </c>
    </row>
    <row r="25" spans="1:7" x14ac:dyDescent="0.25">
      <c r="A25">
        <v>42</v>
      </c>
      <c r="B25" t="s">
        <v>18</v>
      </c>
      <c r="C25">
        <v>8.43</v>
      </c>
      <c r="D25">
        <v>0</v>
      </c>
      <c r="E25">
        <v>2936.8</v>
      </c>
      <c r="F25">
        <v>103.5</v>
      </c>
      <c r="G25">
        <v>3.0000000000000001E-3</v>
      </c>
    </row>
    <row r="26" spans="1:7" x14ac:dyDescent="0.25">
      <c r="A26">
        <v>43</v>
      </c>
      <c r="B26" t="s">
        <v>18</v>
      </c>
      <c r="C26">
        <v>8.49</v>
      </c>
      <c r="D26">
        <v>0.16</v>
      </c>
      <c r="E26">
        <v>80235.399999999994</v>
      </c>
      <c r="F26">
        <v>5080.6000000000004</v>
      </c>
      <c r="G26">
        <v>0.16300000000000001</v>
      </c>
    </row>
    <row r="27" spans="1:7" x14ac:dyDescent="0.25">
      <c r="A27">
        <v>12</v>
      </c>
      <c r="B27" t="s">
        <v>18</v>
      </c>
      <c r="C27">
        <v>8.69</v>
      </c>
      <c r="D27">
        <v>0.01</v>
      </c>
      <c r="E27">
        <v>8918.1</v>
      </c>
      <c r="F27">
        <v>282.7</v>
      </c>
      <c r="G27">
        <v>8.9999999999999993E-3</v>
      </c>
    </row>
    <row r="28" spans="1:7" x14ac:dyDescent="0.25">
      <c r="A28">
        <v>44</v>
      </c>
      <c r="B28" t="s">
        <v>18</v>
      </c>
      <c r="C28">
        <v>8.7799999999999994</v>
      </c>
      <c r="D28">
        <v>0</v>
      </c>
      <c r="E28">
        <v>968.6</v>
      </c>
      <c r="F28">
        <v>36</v>
      </c>
      <c r="G28">
        <v>1E-3</v>
      </c>
    </row>
    <row r="29" spans="1:7" x14ac:dyDescent="0.25">
      <c r="A29">
        <v>13</v>
      </c>
      <c r="B29" t="s">
        <v>18</v>
      </c>
      <c r="C29">
        <v>8.86</v>
      </c>
      <c r="D29">
        <v>0</v>
      </c>
      <c r="E29">
        <v>2293.1</v>
      </c>
      <c r="F29">
        <v>79.599999999999994</v>
      </c>
      <c r="G29">
        <v>3.0000000000000001E-3</v>
      </c>
    </row>
    <row r="30" spans="1:7" x14ac:dyDescent="0.25">
      <c r="A30">
        <v>45</v>
      </c>
      <c r="B30" t="s">
        <v>18</v>
      </c>
      <c r="C30">
        <v>8.92</v>
      </c>
      <c r="D30">
        <v>0</v>
      </c>
      <c r="E30">
        <v>3366.2</v>
      </c>
      <c r="F30">
        <v>112.6</v>
      </c>
      <c r="G30">
        <v>4.0000000000000001E-3</v>
      </c>
    </row>
    <row r="31" spans="1:7" x14ac:dyDescent="0.25">
      <c r="A31">
        <v>14</v>
      </c>
      <c r="B31" t="s">
        <v>18</v>
      </c>
      <c r="C31">
        <v>9.0299999999999994</v>
      </c>
      <c r="D31">
        <v>0</v>
      </c>
      <c r="E31">
        <v>497.5</v>
      </c>
      <c r="F31">
        <v>24.6</v>
      </c>
      <c r="G31">
        <v>1E-3</v>
      </c>
    </row>
    <row r="32" spans="1:7" x14ac:dyDescent="0.25">
      <c r="A32">
        <v>46</v>
      </c>
      <c r="B32" t="s">
        <v>18</v>
      </c>
      <c r="C32">
        <v>9.08</v>
      </c>
      <c r="D32">
        <v>0</v>
      </c>
      <c r="E32">
        <v>915.1</v>
      </c>
      <c r="F32">
        <v>65.2</v>
      </c>
      <c r="G32">
        <v>2E-3</v>
      </c>
    </row>
    <row r="33" spans="1:7" x14ac:dyDescent="0.25">
      <c r="A33">
        <v>47</v>
      </c>
      <c r="B33" t="s">
        <v>18</v>
      </c>
      <c r="C33">
        <v>9.16</v>
      </c>
      <c r="D33">
        <v>0</v>
      </c>
      <c r="E33">
        <v>976.6</v>
      </c>
      <c r="F33">
        <v>41.1</v>
      </c>
      <c r="G33">
        <v>1E-3</v>
      </c>
    </row>
    <row r="34" spans="1:7" x14ac:dyDescent="0.25">
      <c r="A34">
        <v>15</v>
      </c>
      <c r="B34" t="s">
        <v>33</v>
      </c>
      <c r="C34">
        <v>9.2899999999999991</v>
      </c>
      <c r="D34">
        <v>0.04</v>
      </c>
      <c r="E34">
        <v>22800.799999999999</v>
      </c>
      <c r="F34">
        <v>1123</v>
      </c>
      <c r="G34">
        <v>3.5999999999999997E-2</v>
      </c>
    </row>
    <row r="35" spans="1:7" x14ac:dyDescent="0.25">
      <c r="A35">
        <v>49</v>
      </c>
      <c r="B35" t="s">
        <v>18</v>
      </c>
      <c r="C35">
        <v>9.3699999999999992</v>
      </c>
      <c r="D35">
        <v>0.13</v>
      </c>
      <c r="E35">
        <v>71118.8</v>
      </c>
      <c r="F35">
        <v>3906.9</v>
      </c>
      <c r="G35">
        <v>0.126</v>
      </c>
    </row>
    <row r="36" spans="1:7" x14ac:dyDescent="0.25">
      <c r="A36">
        <v>16</v>
      </c>
      <c r="B36" t="s">
        <v>34</v>
      </c>
      <c r="C36">
        <v>9.5299999999999994</v>
      </c>
      <c r="D36">
        <v>0.01</v>
      </c>
      <c r="E36">
        <v>5306.8</v>
      </c>
      <c r="F36">
        <v>252.7</v>
      </c>
      <c r="G36">
        <v>8.0000000000000002E-3</v>
      </c>
    </row>
    <row r="37" spans="1:7" x14ac:dyDescent="0.25">
      <c r="A37">
        <v>48</v>
      </c>
      <c r="B37" t="s">
        <v>18</v>
      </c>
      <c r="C37">
        <v>9.58</v>
      </c>
      <c r="D37">
        <v>0.02</v>
      </c>
      <c r="E37">
        <v>5582.5</v>
      </c>
      <c r="F37">
        <v>538.79999999999995</v>
      </c>
      <c r="G37">
        <v>1.7000000000000001E-2</v>
      </c>
    </row>
    <row r="38" spans="1:7" x14ac:dyDescent="0.25">
      <c r="A38">
        <v>17</v>
      </c>
      <c r="B38" t="s">
        <v>18</v>
      </c>
      <c r="C38">
        <v>9.84</v>
      </c>
      <c r="D38">
        <v>0</v>
      </c>
      <c r="E38">
        <v>2711.9</v>
      </c>
      <c r="F38">
        <v>100</v>
      </c>
      <c r="G38">
        <v>3.0000000000000001E-3</v>
      </c>
    </row>
    <row r="39" spans="1:7" x14ac:dyDescent="0.25">
      <c r="A39">
        <v>50</v>
      </c>
      <c r="B39" t="s">
        <v>18</v>
      </c>
      <c r="C39">
        <v>9.8800000000000008</v>
      </c>
      <c r="D39">
        <v>0.01</v>
      </c>
      <c r="E39">
        <v>3145.1</v>
      </c>
      <c r="F39">
        <v>237.7</v>
      </c>
      <c r="G39">
        <v>8.0000000000000002E-3</v>
      </c>
    </row>
    <row r="40" spans="1:7" x14ac:dyDescent="0.25">
      <c r="A40">
        <v>51</v>
      </c>
      <c r="B40" t="s">
        <v>18</v>
      </c>
      <c r="C40">
        <v>9.99</v>
      </c>
      <c r="D40">
        <v>0</v>
      </c>
      <c r="E40">
        <v>1517.9</v>
      </c>
      <c r="F40">
        <v>53.5</v>
      </c>
      <c r="G40">
        <v>2E-3</v>
      </c>
    </row>
    <row r="41" spans="1:7" x14ac:dyDescent="0.25">
      <c r="A41">
        <v>18</v>
      </c>
      <c r="B41" t="s">
        <v>18</v>
      </c>
      <c r="C41">
        <v>10.08</v>
      </c>
      <c r="D41">
        <v>0.02</v>
      </c>
      <c r="E41">
        <v>6021.8</v>
      </c>
      <c r="F41">
        <v>611.29999999999995</v>
      </c>
      <c r="G41">
        <v>0.02</v>
      </c>
    </row>
    <row r="42" spans="1:7" x14ac:dyDescent="0.25">
      <c r="A42">
        <v>19</v>
      </c>
      <c r="B42" t="s">
        <v>18</v>
      </c>
      <c r="C42">
        <v>10.33</v>
      </c>
      <c r="D42">
        <v>0</v>
      </c>
      <c r="E42">
        <v>536.29999999999995</v>
      </c>
      <c r="F42">
        <v>25.6</v>
      </c>
      <c r="G42">
        <v>1E-3</v>
      </c>
    </row>
    <row r="43" spans="1:7" x14ac:dyDescent="0.25">
      <c r="A43">
        <v>20</v>
      </c>
      <c r="B43" t="s">
        <v>18</v>
      </c>
      <c r="C43">
        <v>10.57</v>
      </c>
      <c r="D43">
        <v>0.02</v>
      </c>
      <c r="E43">
        <v>4187.5</v>
      </c>
      <c r="F43">
        <v>575.79999999999995</v>
      </c>
      <c r="G43">
        <v>1.7999999999999999E-2</v>
      </c>
    </row>
    <row r="44" spans="1:7" x14ac:dyDescent="0.25">
      <c r="A44">
        <v>21</v>
      </c>
      <c r="B44" t="s">
        <v>35</v>
      </c>
      <c r="C44">
        <v>10.73</v>
      </c>
      <c r="D44">
        <v>0.02</v>
      </c>
      <c r="E44">
        <v>11762.7</v>
      </c>
      <c r="F44">
        <v>512.6</v>
      </c>
      <c r="G44">
        <v>1.6E-2</v>
      </c>
    </row>
    <row r="45" spans="1:7" x14ac:dyDescent="0.25">
      <c r="A45">
        <v>53</v>
      </c>
      <c r="B45" t="s">
        <v>18</v>
      </c>
      <c r="C45">
        <v>10.77</v>
      </c>
      <c r="D45">
        <v>0.01</v>
      </c>
      <c r="E45">
        <v>9456.1</v>
      </c>
      <c r="F45">
        <v>187.6</v>
      </c>
      <c r="G45">
        <v>6.0000000000000001E-3</v>
      </c>
    </row>
    <row r="46" spans="1:7" x14ac:dyDescent="0.25">
      <c r="A46">
        <v>52</v>
      </c>
      <c r="B46" t="s">
        <v>18</v>
      </c>
      <c r="C46">
        <v>10.81</v>
      </c>
      <c r="D46">
        <v>0.11</v>
      </c>
      <c r="E46">
        <v>31323.599999999999</v>
      </c>
      <c r="F46">
        <v>3331.4</v>
      </c>
      <c r="G46">
        <v>0.107</v>
      </c>
    </row>
    <row r="47" spans="1:7" x14ac:dyDescent="0.25">
      <c r="A47">
        <v>22</v>
      </c>
      <c r="B47" t="s">
        <v>18</v>
      </c>
      <c r="C47" s="1">
        <v>10.96</v>
      </c>
      <c r="D47">
        <v>0.28000000000000003</v>
      </c>
      <c r="E47">
        <v>50831.8</v>
      </c>
      <c r="F47">
        <v>8605.9</v>
      </c>
      <c r="G47">
        <v>0.27600000000000002</v>
      </c>
    </row>
    <row r="48" spans="1:7" x14ac:dyDescent="0.25">
      <c r="A48">
        <v>23</v>
      </c>
      <c r="B48" t="s">
        <v>18</v>
      </c>
      <c r="C48" s="1">
        <v>11.3</v>
      </c>
      <c r="D48">
        <v>0.1</v>
      </c>
      <c r="E48">
        <v>19297.8</v>
      </c>
      <c r="F48">
        <v>2988.1</v>
      </c>
      <c r="G48">
        <v>9.6000000000000002E-2</v>
      </c>
    </row>
    <row r="49" spans="1:7" x14ac:dyDescent="0.25">
      <c r="A49">
        <v>54</v>
      </c>
      <c r="B49" t="s">
        <v>18</v>
      </c>
      <c r="C49" s="1">
        <v>11.52</v>
      </c>
      <c r="D49">
        <v>0.01</v>
      </c>
      <c r="E49">
        <v>7081</v>
      </c>
      <c r="F49">
        <v>363.8</v>
      </c>
      <c r="G49">
        <v>1.2E-2</v>
      </c>
    </row>
    <row r="50" spans="1:7" x14ac:dyDescent="0.25">
      <c r="A50">
        <v>24</v>
      </c>
      <c r="B50" t="s">
        <v>18</v>
      </c>
      <c r="C50" s="1">
        <v>11.59</v>
      </c>
      <c r="D50">
        <v>0.01</v>
      </c>
      <c r="E50">
        <v>9351.2000000000007</v>
      </c>
      <c r="F50">
        <v>341.5</v>
      </c>
      <c r="G50">
        <v>1.0999999999999999E-2</v>
      </c>
    </row>
    <row r="51" spans="1:7" x14ac:dyDescent="0.25">
      <c r="A51">
        <v>55</v>
      </c>
      <c r="B51" t="s">
        <v>18</v>
      </c>
      <c r="C51" s="1">
        <v>11.63</v>
      </c>
      <c r="D51">
        <v>0.15</v>
      </c>
      <c r="E51">
        <v>25434.3</v>
      </c>
      <c r="F51">
        <v>4794.2</v>
      </c>
      <c r="G51">
        <v>0.154</v>
      </c>
    </row>
    <row r="52" spans="1:7" x14ac:dyDescent="0.25">
      <c r="A52">
        <v>25</v>
      </c>
      <c r="B52" t="s">
        <v>18</v>
      </c>
      <c r="C52">
        <v>12.09</v>
      </c>
      <c r="D52">
        <v>0.01</v>
      </c>
      <c r="E52">
        <v>3527.2</v>
      </c>
      <c r="F52">
        <v>452.8</v>
      </c>
      <c r="G52">
        <v>1.4999999999999999E-2</v>
      </c>
    </row>
    <row r="53" spans="1:7" x14ac:dyDescent="0.25">
      <c r="A53">
        <v>26</v>
      </c>
      <c r="B53" t="s">
        <v>18</v>
      </c>
      <c r="C53">
        <v>12.24</v>
      </c>
      <c r="D53">
        <v>0.04</v>
      </c>
      <c r="E53">
        <v>6795.5</v>
      </c>
      <c r="F53">
        <v>1154.7</v>
      </c>
      <c r="G53">
        <v>3.6999999999999998E-2</v>
      </c>
    </row>
    <row r="54" spans="1:7" x14ac:dyDescent="0.25">
      <c r="A54">
        <v>27</v>
      </c>
      <c r="B54" t="s">
        <v>18</v>
      </c>
      <c r="C54">
        <v>12.63</v>
      </c>
      <c r="D54">
        <v>0.02</v>
      </c>
      <c r="E54">
        <v>3826.2</v>
      </c>
      <c r="F54">
        <v>527.4</v>
      </c>
      <c r="G54">
        <v>1.7000000000000001E-2</v>
      </c>
    </row>
    <row r="55" spans="1:7" x14ac:dyDescent="0.25">
      <c r="A55">
        <v>28</v>
      </c>
      <c r="B55" t="s">
        <v>18</v>
      </c>
      <c r="C55">
        <v>12.78</v>
      </c>
      <c r="D55">
        <v>0.02</v>
      </c>
      <c r="E55">
        <v>3591</v>
      </c>
      <c r="F55">
        <v>657.1</v>
      </c>
      <c r="G55">
        <v>2.1000000000000001E-2</v>
      </c>
    </row>
    <row r="56" spans="1:7" x14ac:dyDescent="0.25">
      <c r="A56">
        <v>29</v>
      </c>
      <c r="B56" t="s">
        <v>18</v>
      </c>
      <c r="C56">
        <v>13.21</v>
      </c>
      <c r="D56">
        <v>0.01</v>
      </c>
      <c r="E56">
        <v>1289.7</v>
      </c>
      <c r="F56">
        <v>310.39999999999998</v>
      </c>
      <c r="G56">
        <v>0.01</v>
      </c>
    </row>
    <row r="57" spans="1:7" x14ac:dyDescent="0.25">
      <c r="A57">
        <v>30</v>
      </c>
      <c r="B57" t="s">
        <v>18</v>
      </c>
      <c r="C57">
        <v>13.57</v>
      </c>
      <c r="D57">
        <v>0</v>
      </c>
      <c r="E57">
        <v>764.7</v>
      </c>
      <c r="F57">
        <v>127.7</v>
      </c>
      <c r="G57">
        <v>4.0000000000000001E-3</v>
      </c>
    </row>
    <row r="58" spans="1:7" x14ac:dyDescent="0.25">
      <c r="A58" t="s">
        <v>7</v>
      </c>
      <c r="B58" t="s">
        <v>7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</row>
    <row r="59" spans="1:7" x14ac:dyDescent="0.25">
      <c r="A59" t="s">
        <v>36</v>
      </c>
      <c r="B59" t="s">
        <v>37</v>
      </c>
      <c r="C59" t="s">
        <v>37</v>
      </c>
      <c r="D59">
        <v>100</v>
      </c>
      <c r="E59">
        <v>398699594</v>
      </c>
      <c r="F59">
        <v>3112871.9</v>
      </c>
      <c r="G59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1004-D063-42FF-ACCF-0659E7E7AF72}">
  <dimension ref="A1:S59"/>
  <sheetViews>
    <sheetView showZeros="0" tabSelected="1" workbookViewId="0">
      <selection activeCell="G11" sqref="G11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0" max="10" width="10.21875" bestFit="1" customWidth="1"/>
    <col min="18" max="18" width="19.5546875" bestFit="1" customWidth="1"/>
    <col min="19" max="19" width="10.21875" bestFit="1" customWidth="1"/>
    <col min="265" max="265" width="19.5546875" bestFit="1" customWidth="1"/>
    <col min="266" max="266" width="10.21875" bestFit="1" customWidth="1"/>
    <col min="274" max="274" width="19.5546875" bestFit="1" customWidth="1"/>
    <col min="275" max="275" width="10.21875" bestFit="1" customWidth="1"/>
    <col min="521" max="521" width="19.5546875" bestFit="1" customWidth="1"/>
    <col min="522" max="522" width="10.21875" bestFit="1" customWidth="1"/>
    <col min="530" max="530" width="19.5546875" bestFit="1" customWidth="1"/>
    <col min="531" max="531" width="10.21875" bestFit="1" customWidth="1"/>
    <col min="777" max="777" width="19.5546875" bestFit="1" customWidth="1"/>
    <col min="778" max="778" width="10.21875" bestFit="1" customWidth="1"/>
    <col min="786" max="786" width="19.5546875" bestFit="1" customWidth="1"/>
    <col min="787" max="787" width="10.21875" bestFit="1" customWidth="1"/>
    <col min="1033" max="1033" width="19.5546875" bestFit="1" customWidth="1"/>
    <col min="1034" max="1034" width="10.21875" bestFit="1" customWidth="1"/>
    <col min="1042" max="1042" width="19.5546875" bestFit="1" customWidth="1"/>
    <col min="1043" max="1043" width="10.21875" bestFit="1" customWidth="1"/>
    <col min="1289" max="1289" width="19.5546875" bestFit="1" customWidth="1"/>
    <col min="1290" max="1290" width="10.21875" bestFit="1" customWidth="1"/>
    <col min="1298" max="1298" width="19.5546875" bestFit="1" customWidth="1"/>
    <col min="1299" max="1299" width="10.21875" bestFit="1" customWidth="1"/>
    <col min="1545" max="1545" width="19.5546875" bestFit="1" customWidth="1"/>
    <col min="1546" max="1546" width="10.21875" bestFit="1" customWidth="1"/>
    <col min="1554" max="1554" width="19.5546875" bestFit="1" customWidth="1"/>
    <col min="1555" max="1555" width="10.21875" bestFit="1" customWidth="1"/>
    <col min="1801" max="1801" width="19.5546875" bestFit="1" customWidth="1"/>
    <col min="1802" max="1802" width="10.21875" bestFit="1" customWidth="1"/>
    <col min="1810" max="1810" width="19.5546875" bestFit="1" customWidth="1"/>
    <col min="1811" max="1811" width="10.21875" bestFit="1" customWidth="1"/>
    <col min="2057" max="2057" width="19.5546875" bestFit="1" customWidth="1"/>
    <col min="2058" max="2058" width="10.21875" bestFit="1" customWidth="1"/>
    <col min="2066" max="2066" width="19.5546875" bestFit="1" customWidth="1"/>
    <col min="2067" max="2067" width="10.21875" bestFit="1" customWidth="1"/>
    <col min="2313" max="2313" width="19.5546875" bestFit="1" customWidth="1"/>
    <col min="2314" max="2314" width="10.21875" bestFit="1" customWidth="1"/>
    <col min="2322" max="2322" width="19.5546875" bestFit="1" customWidth="1"/>
    <col min="2323" max="2323" width="10.21875" bestFit="1" customWidth="1"/>
    <col min="2569" max="2569" width="19.5546875" bestFit="1" customWidth="1"/>
    <col min="2570" max="2570" width="10.21875" bestFit="1" customWidth="1"/>
    <col min="2578" max="2578" width="19.5546875" bestFit="1" customWidth="1"/>
    <col min="2579" max="2579" width="10.21875" bestFit="1" customWidth="1"/>
    <col min="2825" max="2825" width="19.5546875" bestFit="1" customWidth="1"/>
    <col min="2826" max="2826" width="10.21875" bestFit="1" customWidth="1"/>
    <col min="2834" max="2834" width="19.5546875" bestFit="1" customWidth="1"/>
    <col min="2835" max="2835" width="10.21875" bestFit="1" customWidth="1"/>
    <col min="3081" max="3081" width="19.5546875" bestFit="1" customWidth="1"/>
    <col min="3082" max="3082" width="10.21875" bestFit="1" customWidth="1"/>
    <col min="3090" max="3090" width="19.5546875" bestFit="1" customWidth="1"/>
    <col min="3091" max="3091" width="10.21875" bestFit="1" customWidth="1"/>
    <col min="3337" max="3337" width="19.5546875" bestFit="1" customWidth="1"/>
    <col min="3338" max="3338" width="10.21875" bestFit="1" customWidth="1"/>
    <col min="3346" max="3346" width="19.5546875" bestFit="1" customWidth="1"/>
    <col min="3347" max="3347" width="10.21875" bestFit="1" customWidth="1"/>
    <col min="3593" max="3593" width="19.5546875" bestFit="1" customWidth="1"/>
    <col min="3594" max="3594" width="10.21875" bestFit="1" customWidth="1"/>
    <col min="3602" max="3602" width="19.5546875" bestFit="1" customWidth="1"/>
    <col min="3603" max="3603" width="10.21875" bestFit="1" customWidth="1"/>
    <col min="3849" max="3849" width="19.5546875" bestFit="1" customWidth="1"/>
    <col min="3850" max="3850" width="10.21875" bestFit="1" customWidth="1"/>
    <col min="3858" max="3858" width="19.5546875" bestFit="1" customWidth="1"/>
    <col min="3859" max="3859" width="10.21875" bestFit="1" customWidth="1"/>
    <col min="4105" max="4105" width="19.5546875" bestFit="1" customWidth="1"/>
    <col min="4106" max="4106" width="10.21875" bestFit="1" customWidth="1"/>
    <col min="4114" max="4114" width="19.5546875" bestFit="1" customWidth="1"/>
    <col min="4115" max="4115" width="10.21875" bestFit="1" customWidth="1"/>
    <col min="4361" max="4361" width="19.5546875" bestFit="1" customWidth="1"/>
    <col min="4362" max="4362" width="10.21875" bestFit="1" customWidth="1"/>
    <col min="4370" max="4370" width="19.5546875" bestFit="1" customWidth="1"/>
    <col min="4371" max="4371" width="10.21875" bestFit="1" customWidth="1"/>
    <col min="4617" max="4617" width="19.5546875" bestFit="1" customWidth="1"/>
    <col min="4618" max="4618" width="10.21875" bestFit="1" customWidth="1"/>
    <col min="4626" max="4626" width="19.5546875" bestFit="1" customWidth="1"/>
    <col min="4627" max="4627" width="10.21875" bestFit="1" customWidth="1"/>
    <col min="4873" max="4873" width="19.5546875" bestFit="1" customWidth="1"/>
    <col min="4874" max="4874" width="10.21875" bestFit="1" customWidth="1"/>
    <col min="4882" max="4882" width="19.5546875" bestFit="1" customWidth="1"/>
    <col min="4883" max="4883" width="10.21875" bestFit="1" customWidth="1"/>
    <col min="5129" max="5129" width="19.5546875" bestFit="1" customWidth="1"/>
    <col min="5130" max="5130" width="10.21875" bestFit="1" customWidth="1"/>
    <col min="5138" max="5138" width="19.5546875" bestFit="1" customWidth="1"/>
    <col min="5139" max="5139" width="10.21875" bestFit="1" customWidth="1"/>
    <col min="5385" max="5385" width="19.5546875" bestFit="1" customWidth="1"/>
    <col min="5386" max="5386" width="10.21875" bestFit="1" customWidth="1"/>
    <col min="5394" max="5394" width="19.5546875" bestFit="1" customWidth="1"/>
    <col min="5395" max="5395" width="10.21875" bestFit="1" customWidth="1"/>
    <col min="5641" max="5641" width="19.5546875" bestFit="1" customWidth="1"/>
    <col min="5642" max="5642" width="10.21875" bestFit="1" customWidth="1"/>
    <col min="5650" max="5650" width="19.5546875" bestFit="1" customWidth="1"/>
    <col min="5651" max="5651" width="10.21875" bestFit="1" customWidth="1"/>
    <col min="5897" max="5897" width="19.5546875" bestFit="1" customWidth="1"/>
    <col min="5898" max="5898" width="10.21875" bestFit="1" customWidth="1"/>
    <col min="5906" max="5906" width="19.5546875" bestFit="1" customWidth="1"/>
    <col min="5907" max="5907" width="10.21875" bestFit="1" customWidth="1"/>
    <col min="6153" max="6153" width="19.5546875" bestFit="1" customWidth="1"/>
    <col min="6154" max="6154" width="10.21875" bestFit="1" customWidth="1"/>
    <col min="6162" max="6162" width="19.5546875" bestFit="1" customWidth="1"/>
    <col min="6163" max="6163" width="10.21875" bestFit="1" customWidth="1"/>
    <col min="6409" max="6409" width="19.5546875" bestFit="1" customWidth="1"/>
    <col min="6410" max="6410" width="10.21875" bestFit="1" customWidth="1"/>
    <col min="6418" max="6418" width="19.5546875" bestFit="1" customWidth="1"/>
    <col min="6419" max="6419" width="10.21875" bestFit="1" customWidth="1"/>
    <col min="6665" max="6665" width="19.5546875" bestFit="1" customWidth="1"/>
    <col min="6666" max="6666" width="10.21875" bestFit="1" customWidth="1"/>
    <col min="6674" max="6674" width="19.5546875" bestFit="1" customWidth="1"/>
    <col min="6675" max="6675" width="10.21875" bestFit="1" customWidth="1"/>
    <col min="6921" max="6921" width="19.5546875" bestFit="1" customWidth="1"/>
    <col min="6922" max="6922" width="10.21875" bestFit="1" customWidth="1"/>
    <col min="6930" max="6930" width="19.5546875" bestFit="1" customWidth="1"/>
    <col min="6931" max="6931" width="10.21875" bestFit="1" customWidth="1"/>
    <col min="7177" max="7177" width="19.5546875" bestFit="1" customWidth="1"/>
    <col min="7178" max="7178" width="10.21875" bestFit="1" customWidth="1"/>
    <col min="7186" max="7186" width="19.5546875" bestFit="1" customWidth="1"/>
    <col min="7187" max="7187" width="10.21875" bestFit="1" customWidth="1"/>
    <col min="7433" max="7433" width="19.5546875" bestFit="1" customWidth="1"/>
    <col min="7434" max="7434" width="10.21875" bestFit="1" customWidth="1"/>
    <col min="7442" max="7442" width="19.5546875" bestFit="1" customWidth="1"/>
    <col min="7443" max="7443" width="10.21875" bestFit="1" customWidth="1"/>
    <col min="7689" max="7689" width="19.5546875" bestFit="1" customWidth="1"/>
    <col min="7690" max="7690" width="10.21875" bestFit="1" customWidth="1"/>
    <col min="7698" max="7698" width="19.5546875" bestFit="1" customWidth="1"/>
    <col min="7699" max="7699" width="10.21875" bestFit="1" customWidth="1"/>
    <col min="7945" max="7945" width="19.5546875" bestFit="1" customWidth="1"/>
    <col min="7946" max="7946" width="10.21875" bestFit="1" customWidth="1"/>
    <col min="7954" max="7954" width="19.5546875" bestFit="1" customWidth="1"/>
    <col min="7955" max="7955" width="10.21875" bestFit="1" customWidth="1"/>
    <col min="8201" max="8201" width="19.5546875" bestFit="1" customWidth="1"/>
    <col min="8202" max="8202" width="10.21875" bestFit="1" customWidth="1"/>
    <col min="8210" max="8210" width="19.5546875" bestFit="1" customWidth="1"/>
    <col min="8211" max="8211" width="10.21875" bestFit="1" customWidth="1"/>
    <col min="8457" max="8457" width="19.5546875" bestFit="1" customWidth="1"/>
    <col min="8458" max="8458" width="10.21875" bestFit="1" customWidth="1"/>
    <col min="8466" max="8466" width="19.5546875" bestFit="1" customWidth="1"/>
    <col min="8467" max="8467" width="10.21875" bestFit="1" customWidth="1"/>
    <col min="8713" max="8713" width="19.5546875" bestFit="1" customWidth="1"/>
    <col min="8714" max="8714" width="10.21875" bestFit="1" customWidth="1"/>
    <col min="8722" max="8722" width="19.5546875" bestFit="1" customWidth="1"/>
    <col min="8723" max="8723" width="10.21875" bestFit="1" customWidth="1"/>
    <col min="8969" max="8969" width="19.5546875" bestFit="1" customWidth="1"/>
    <col min="8970" max="8970" width="10.21875" bestFit="1" customWidth="1"/>
    <col min="8978" max="8978" width="19.5546875" bestFit="1" customWidth="1"/>
    <col min="8979" max="8979" width="10.21875" bestFit="1" customWidth="1"/>
    <col min="9225" max="9225" width="19.5546875" bestFit="1" customWidth="1"/>
    <col min="9226" max="9226" width="10.21875" bestFit="1" customWidth="1"/>
    <col min="9234" max="9234" width="19.5546875" bestFit="1" customWidth="1"/>
    <col min="9235" max="9235" width="10.21875" bestFit="1" customWidth="1"/>
    <col min="9481" max="9481" width="19.5546875" bestFit="1" customWidth="1"/>
    <col min="9482" max="9482" width="10.21875" bestFit="1" customWidth="1"/>
    <col min="9490" max="9490" width="19.5546875" bestFit="1" customWidth="1"/>
    <col min="9491" max="9491" width="10.21875" bestFit="1" customWidth="1"/>
    <col min="9737" max="9737" width="19.5546875" bestFit="1" customWidth="1"/>
    <col min="9738" max="9738" width="10.21875" bestFit="1" customWidth="1"/>
    <col min="9746" max="9746" width="19.5546875" bestFit="1" customWidth="1"/>
    <col min="9747" max="9747" width="10.21875" bestFit="1" customWidth="1"/>
    <col min="9993" max="9993" width="19.5546875" bestFit="1" customWidth="1"/>
    <col min="9994" max="9994" width="10.21875" bestFit="1" customWidth="1"/>
    <col min="10002" max="10002" width="19.5546875" bestFit="1" customWidth="1"/>
    <col min="10003" max="10003" width="10.21875" bestFit="1" customWidth="1"/>
    <col min="10249" max="10249" width="19.5546875" bestFit="1" customWidth="1"/>
    <col min="10250" max="10250" width="10.21875" bestFit="1" customWidth="1"/>
    <col min="10258" max="10258" width="19.5546875" bestFit="1" customWidth="1"/>
    <col min="10259" max="10259" width="10.21875" bestFit="1" customWidth="1"/>
    <col min="10505" max="10505" width="19.5546875" bestFit="1" customWidth="1"/>
    <col min="10506" max="10506" width="10.21875" bestFit="1" customWidth="1"/>
    <col min="10514" max="10514" width="19.5546875" bestFit="1" customWidth="1"/>
    <col min="10515" max="10515" width="10.21875" bestFit="1" customWidth="1"/>
    <col min="10761" max="10761" width="19.5546875" bestFit="1" customWidth="1"/>
    <col min="10762" max="10762" width="10.21875" bestFit="1" customWidth="1"/>
    <col min="10770" max="10770" width="19.5546875" bestFit="1" customWidth="1"/>
    <col min="10771" max="10771" width="10.21875" bestFit="1" customWidth="1"/>
    <col min="11017" max="11017" width="19.5546875" bestFit="1" customWidth="1"/>
    <col min="11018" max="11018" width="10.21875" bestFit="1" customWidth="1"/>
    <col min="11026" max="11026" width="19.5546875" bestFit="1" customWidth="1"/>
    <col min="11027" max="11027" width="10.21875" bestFit="1" customWidth="1"/>
    <col min="11273" max="11273" width="19.5546875" bestFit="1" customWidth="1"/>
    <col min="11274" max="11274" width="10.21875" bestFit="1" customWidth="1"/>
    <col min="11282" max="11282" width="19.5546875" bestFit="1" customWidth="1"/>
    <col min="11283" max="11283" width="10.21875" bestFit="1" customWidth="1"/>
    <col min="11529" max="11529" width="19.5546875" bestFit="1" customWidth="1"/>
    <col min="11530" max="11530" width="10.21875" bestFit="1" customWidth="1"/>
    <col min="11538" max="11538" width="19.5546875" bestFit="1" customWidth="1"/>
    <col min="11539" max="11539" width="10.21875" bestFit="1" customWidth="1"/>
    <col min="11785" max="11785" width="19.5546875" bestFit="1" customWidth="1"/>
    <col min="11786" max="11786" width="10.21875" bestFit="1" customWidth="1"/>
    <col min="11794" max="11794" width="19.5546875" bestFit="1" customWidth="1"/>
    <col min="11795" max="11795" width="10.21875" bestFit="1" customWidth="1"/>
    <col min="12041" max="12041" width="19.5546875" bestFit="1" customWidth="1"/>
    <col min="12042" max="12042" width="10.21875" bestFit="1" customWidth="1"/>
    <col min="12050" max="12050" width="19.5546875" bestFit="1" customWidth="1"/>
    <col min="12051" max="12051" width="10.21875" bestFit="1" customWidth="1"/>
    <col min="12297" max="12297" width="19.5546875" bestFit="1" customWidth="1"/>
    <col min="12298" max="12298" width="10.21875" bestFit="1" customWidth="1"/>
    <col min="12306" max="12306" width="19.5546875" bestFit="1" customWidth="1"/>
    <col min="12307" max="12307" width="10.21875" bestFit="1" customWidth="1"/>
    <col min="12553" max="12553" width="19.5546875" bestFit="1" customWidth="1"/>
    <col min="12554" max="12554" width="10.21875" bestFit="1" customWidth="1"/>
    <col min="12562" max="12562" width="19.5546875" bestFit="1" customWidth="1"/>
    <col min="12563" max="12563" width="10.21875" bestFit="1" customWidth="1"/>
    <col min="12809" max="12809" width="19.5546875" bestFit="1" customWidth="1"/>
    <col min="12810" max="12810" width="10.21875" bestFit="1" customWidth="1"/>
    <col min="12818" max="12818" width="19.5546875" bestFit="1" customWidth="1"/>
    <col min="12819" max="12819" width="10.21875" bestFit="1" customWidth="1"/>
    <col min="13065" max="13065" width="19.5546875" bestFit="1" customWidth="1"/>
    <col min="13066" max="13066" width="10.21875" bestFit="1" customWidth="1"/>
    <col min="13074" max="13074" width="19.5546875" bestFit="1" customWidth="1"/>
    <col min="13075" max="13075" width="10.21875" bestFit="1" customWidth="1"/>
    <col min="13321" max="13321" width="19.5546875" bestFit="1" customWidth="1"/>
    <col min="13322" max="13322" width="10.21875" bestFit="1" customWidth="1"/>
    <col min="13330" max="13330" width="19.5546875" bestFit="1" customWidth="1"/>
    <col min="13331" max="13331" width="10.21875" bestFit="1" customWidth="1"/>
    <col min="13577" max="13577" width="19.5546875" bestFit="1" customWidth="1"/>
    <col min="13578" max="13578" width="10.21875" bestFit="1" customWidth="1"/>
    <col min="13586" max="13586" width="19.5546875" bestFit="1" customWidth="1"/>
    <col min="13587" max="13587" width="10.21875" bestFit="1" customWidth="1"/>
    <col min="13833" max="13833" width="19.5546875" bestFit="1" customWidth="1"/>
    <col min="13834" max="13834" width="10.21875" bestFit="1" customWidth="1"/>
    <col min="13842" max="13842" width="19.5546875" bestFit="1" customWidth="1"/>
    <col min="13843" max="13843" width="10.21875" bestFit="1" customWidth="1"/>
    <col min="14089" max="14089" width="19.5546875" bestFit="1" customWidth="1"/>
    <col min="14090" max="14090" width="10.21875" bestFit="1" customWidth="1"/>
    <col min="14098" max="14098" width="19.5546875" bestFit="1" customWidth="1"/>
    <col min="14099" max="14099" width="10.21875" bestFit="1" customWidth="1"/>
    <col min="14345" max="14345" width="19.5546875" bestFit="1" customWidth="1"/>
    <col min="14346" max="14346" width="10.21875" bestFit="1" customWidth="1"/>
    <col min="14354" max="14354" width="19.5546875" bestFit="1" customWidth="1"/>
    <col min="14355" max="14355" width="10.21875" bestFit="1" customWidth="1"/>
    <col min="14601" max="14601" width="19.5546875" bestFit="1" customWidth="1"/>
    <col min="14602" max="14602" width="10.21875" bestFit="1" customWidth="1"/>
    <col min="14610" max="14610" width="19.5546875" bestFit="1" customWidth="1"/>
    <col min="14611" max="14611" width="10.21875" bestFit="1" customWidth="1"/>
    <col min="14857" max="14857" width="19.5546875" bestFit="1" customWidth="1"/>
    <col min="14858" max="14858" width="10.21875" bestFit="1" customWidth="1"/>
    <col min="14866" max="14866" width="19.5546875" bestFit="1" customWidth="1"/>
    <col min="14867" max="14867" width="10.21875" bestFit="1" customWidth="1"/>
    <col min="15113" max="15113" width="19.5546875" bestFit="1" customWidth="1"/>
    <col min="15114" max="15114" width="10.21875" bestFit="1" customWidth="1"/>
    <col min="15122" max="15122" width="19.5546875" bestFit="1" customWidth="1"/>
    <col min="15123" max="15123" width="10.21875" bestFit="1" customWidth="1"/>
    <col min="15369" max="15369" width="19.5546875" bestFit="1" customWidth="1"/>
    <col min="15370" max="15370" width="10.21875" bestFit="1" customWidth="1"/>
    <col min="15378" max="15378" width="19.5546875" bestFit="1" customWidth="1"/>
    <col min="15379" max="15379" width="10.21875" bestFit="1" customWidth="1"/>
    <col min="15625" max="15625" width="19.5546875" bestFit="1" customWidth="1"/>
    <col min="15626" max="15626" width="10.21875" bestFit="1" customWidth="1"/>
    <col min="15634" max="15634" width="19.5546875" bestFit="1" customWidth="1"/>
    <col min="15635" max="15635" width="10.21875" bestFit="1" customWidth="1"/>
    <col min="15881" max="15881" width="19.5546875" bestFit="1" customWidth="1"/>
    <col min="15882" max="15882" width="10.21875" bestFit="1" customWidth="1"/>
    <col min="15890" max="15890" width="19.5546875" bestFit="1" customWidth="1"/>
    <col min="15891" max="15891" width="10.21875" bestFit="1" customWidth="1"/>
    <col min="16137" max="16137" width="19.5546875" bestFit="1" customWidth="1"/>
    <col min="16138" max="16138" width="10.21875" bestFit="1" customWidth="1"/>
    <col min="16146" max="16146" width="19.5546875" bestFit="1" customWidth="1"/>
    <col min="16147" max="16147" width="10.21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9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3535901.2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  <c r="S2">
        <f>O45+O46+O47+O48+O49</f>
        <v>17316.900000000001</v>
      </c>
    </row>
    <row r="3" spans="1:19" x14ac:dyDescent="0.25">
      <c r="A3">
        <v>1</v>
      </c>
      <c r="B3" t="s">
        <v>14</v>
      </c>
      <c r="C3">
        <v>0.96</v>
      </c>
      <c r="D3">
        <v>92.37</v>
      </c>
      <c r="E3">
        <v>482960253.39999998</v>
      </c>
      <c r="F3">
        <v>3535901.2</v>
      </c>
      <c r="G3">
        <v>92.367000000000004</v>
      </c>
      <c r="I3" t="s">
        <v>15</v>
      </c>
      <c r="J3">
        <f>F16+F45+F46+F47+F48+F49</f>
        <v>117298.7</v>
      </c>
      <c r="L3">
        <v>0.96</v>
      </c>
      <c r="M3">
        <v>92.37</v>
      </c>
      <c r="N3">
        <v>482960253.39999998</v>
      </c>
      <c r="O3">
        <v>3535901.2</v>
      </c>
      <c r="P3">
        <v>92.367000000000004</v>
      </c>
      <c r="R3" t="s">
        <v>15</v>
      </c>
      <c r="S3">
        <f>O16</f>
        <v>99981.8</v>
      </c>
    </row>
    <row r="4" spans="1:19" x14ac:dyDescent="0.25">
      <c r="A4">
        <v>44</v>
      </c>
      <c r="B4" t="s">
        <v>18</v>
      </c>
      <c r="C4">
        <v>5.54</v>
      </c>
      <c r="D4">
        <v>0</v>
      </c>
      <c r="E4">
        <v>471</v>
      </c>
      <c r="F4">
        <v>7.6</v>
      </c>
      <c r="G4">
        <v>0</v>
      </c>
      <c r="I4" t="s">
        <v>17</v>
      </c>
      <c r="J4">
        <v>103.8</v>
      </c>
      <c r="L4">
        <v>5.54</v>
      </c>
      <c r="M4">
        <v>0</v>
      </c>
      <c r="N4">
        <v>471</v>
      </c>
      <c r="O4">
        <v>7.6</v>
      </c>
      <c r="P4">
        <v>0</v>
      </c>
      <c r="R4" t="s">
        <v>17</v>
      </c>
      <c r="S4">
        <v>103.8</v>
      </c>
    </row>
    <row r="5" spans="1:19" x14ac:dyDescent="0.25">
      <c r="A5">
        <v>2</v>
      </c>
      <c r="B5" t="s">
        <v>20</v>
      </c>
      <c r="C5">
        <v>5.89</v>
      </c>
      <c r="D5">
        <v>0.01</v>
      </c>
      <c r="E5">
        <v>3047.2</v>
      </c>
      <c r="F5">
        <v>361.5</v>
      </c>
      <c r="G5">
        <v>8.9999999999999993E-3</v>
      </c>
      <c r="I5" t="s">
        <v>38</v>
      </c>
      <c r="J5">
        <v>10</v>
      </c>
      <c r="L5">
        <v>5.89</v>
      </c>
      <c r="M5">
        <v>0.01</v>
      </c>
      <c r="N5">
        <v>3047.2</v>
      </c>
      <c r="O5">
        <v>361.5</v>
      </c>
      <c r="P5">
        <v>8.9999999999999993E-3</v>
      </c>
      <c r="R5" t="s">
        <v>21</v>
      </c>
      <c r="S5">
        <f>S4/10</f>
        <v>10.379999999999999</v>
      </c>
    </row>
    <row r="6" spans="1:19" x14ac:dyDescent="0.25">
      <c r="A6">
        <v>3</v>
      </c>
      <c r="B6" t="s">
        <v>18</v>
      </c>
      <c r="C6">
        <v>6.08</v>
      </c>
      <c r="D6">
        <v>0.01</v>
      </c>
      <c r="E6">
        <v>5136.8999999999996</v>
      </c>
      <c r="F6">
        <v>485.5</v>
      </c>
      <c r="G6">
        <v>1.2999999999999999E-2</v>
      </c>
      <c r="I6" t="s">
        <v>21</v>
      </c>
      <c r="J6">
        <f>J4/J5</f>
        <v>10.379999999999999</v>
      </c>
      <c r="L6">
        <v>6.08</v>
      </c>
      <c r="M6">
        <v>0.01</v>
      </c>
      <c r="N6">
        <v>5136.8999999999996</v>
      </c>
      <c r="O6">
        <v>485.5</v>
      </c>
      <c r="P6">
        <v>1.2999999999999999E-2</v>
      </c>
      <c r="R6" t="s">
        <v>23</v>
      </c>
      <c r="S6">
        <v>199.4</v>
      </c>
    </row>
    <row r="7" spans="1:19" x14ac:dyDescent="0.25">
      <c r="A7">
        <v>4</v>
      </c>
      <c r="B7" t="s">
        <v>18</v>
      </c>
      <c r="C7">
        <v>6.36</v>
      </c>
      <c r="D7">
        <v>0</v>
      </c>
      <c r="E7">
        <v>757.6</v>
      </c>
      <c r="F7">
        <v>61.3</v>
      </c>
      <c r="G7">
        <v>2E-3</v>
      </c>
      <c r="I7" t="s">
        <v>22</v>
      </c>
      <c r="J7">
        <v>1</v>
      </c>
      <c r="L7">
        <v>6.36</v>
      </c>
      <c r="M7">
        <v>0</v>
      </c>
      <c r="N7">
        <v>757.6</v>
      </c>
      <c r="O7">
        <v>61.3</v>
      </c>
      <c r="P7">
        <v>2E-3</v>
      </c>
      <c r="R7" t="s">
        <v>24</v>
      </c>
      <c r="S7">
        <f>SUM(F17:F57)</f>
        <v>171333.89999999997</v>
      </c>
    </row>
    <row r="8" spans="1:19" x14ac:dyDescent="0.25">
      <c r="A8">
        <v>5</v>
      </c>
      <c r="B8" t="s">
        <v>18</v>
      </c>
      <c r="C8">
        <v>6.54</v>
      </c>
      <c r="D8">
        <v>0</v>
      </c>
      <c r="E8">
        <v>1778.3</v>
      </c>
      <c r="F8">
        <v>82.7</v>
      </c>
      <c r="G8">
        <v>2E-3</v>
      </c>
      <c r="I8" t="s">
        <v>23</v>
      </c>
      <c r="J8">
        <v>199.4</v>
      </c>
      <c r="L8">
        <v>6.54</v>
      </c>
      <c r="M8">
        <v>0</v>
      </c>
      <c r="N8">
        <v>1778.3</v>
      </c>
      <c r="O8">
        <v>82.7</v>
      </c>
      <c r="P8">
        <v>2E-3</v>
      </c>
      <c r="R8" t="s">
        <v>25</v>
      </c>
      <c r="S8" s="2">
        <f>(S7/S3)*(S5/S6)</f>
        <v>8.9206099201127792E-2</v>
      </c>
    </row>
    <row r="9" spans="1:19" x14ac:dyDescent="0.25">
      <c r="A9">
        <v>30</v>
      </c>
      <c r="B9" t="s">
        <v>18</v>
      </c>
      <c r="C9">
        <v>6.63</v>
      </c>
      <c r="D9">
        <v>0.01</v>
      </c>
      <c r="E9">
        <v>5901.9</v>
      </c>
      <c r="F9">
        <v>294.5</v>
      </c>
      <c r="G9">
        <v>8.0000000000000002E-3</v>
      </c>
      <c r="I9" t="s">
        <v>24</v>
      </c>
      <c r="J9">
        <f>F59-J2-J3</f>
        <v>174909.5999999998</v>
      </c>
      <c r="L9">
        <v>6.63</v>
      </c>
      <c r="M9">
        <v>0.01</v>
      </c>
      <c r="N9">
        <v>5901.9</v>
      </c>
      <c r="O9">
        <v>294.5</v>
      </c>
      <c r="P9">
        <v>8.0000000000000002E-3</v>
      </c>
    </row>
    <row r="10" spans="1:19" x14ac:dyDescent="0.25">
      <c r="A10">
        <v>31</v>
      </c>
      <c r="B10" t="s">
        <v>18</v>
      </c>
      <c r="C10">
        <v>6.73</v>
      </c>
      <c r="D10">
        <v>0</v>
      </c>
      <c r="E10">
        <v>1012.5</v>
      </c>
      <c r="F10">
        <v>64</v>
      </c>
      <c r="G10">
        <v>2E-3</v>
      </c>
      <c r="I10" t="s">
        <v>25</v>
      </c>
      <c r="J10" s="2">
        <f>(J9/J3)*((J6*J7)/J8)</f>
        <v>7.7623397453104648E-2</v>
      </c>
      <c r="L10">
        <v>6.73</v>
      </c>
      <c r="M10">
        <v>0</v>
      </c>
      <c r="N10">
        <v>1012.5</v>
      </c>
      <c r="O10">
        <v>64</v>
      </c>
      <c r="P10">
        <v>2E-3</v>
      </c>
    </row>
    <row r="11" spans="1:19" x14ac:dyDescent="0.25">
      <c r="A11">
        <v>6</v>
      </c>
      <c r="B11" t="s">
        <v>26</v>
      </c>
      <c r="C11">
        <v>6.85</v>
      </c>
      <c r="D11">
        <v>0.02</v>
      </c>
      <c r="E11">
        <v>14395.8</v>
      </c>
      <c r="F11">
        <v>735.4</v>
      </c>
      <c r="G11">
        <v>1.9E-2</v>
      </c>
      <c r="I11" t="s">
        <v>27</v>
      </c>
      <c r="J11">
        <v>1.2985891386704895</v>
      </c>
      <c r="L11">
        <v>6.85</v>
      </c>
      <c r="M11">
        <v>0.02</v>
      </c>
      <c r="N11">
        <v>14395.8</v>
      </c>
      <c r="O11">
        <v>735.4</v>
      </c>
      <c r="P11">
        <v>1.9E-2</v>
      </c>
    </row>
    <row r="12" spans="1:19" x14ac:dyDescent="0.25">
      <c r="A12">
        <v>32</v>
      </c>
      <c r="B12" t="s">
        <v>28</v>
      </c>
      <c r="C12">
        <v>6.97</v>
      </c>
      <c r="D12">
        <v>0.01</v>
      </c>
      <c r="E12">
        <v>4331.5</v>
      </c>
      <c r="F12">
        <v>214.9</v>
      </c>
      <c r="G12">
        <v>6.0000000000000001E-3</v>
      </c>
      <c r="J12">
        <f>J10*J11</f>
        <v>0.10080090083930424</v>
      </c>
      <c r="L12">
        <v>6.97</v>
      </c>
      <c r="M12">
        <v>0.01</v>
      </c>
      <c r="N12">
        <v>4331.5</v>
      </c>
      <c r="O12">
        <v>214.9</v>
      </c>
      <c r="P12">
        <v>6.0000000000000001E-3</v>
      </c>
    </row>
    <row r="13" spans="1:19" x14ac:dyDescent="0.25">
      <c r="A13">
        <v>54</v>
      </c>
      <c r="B13" t="s">
        <v>18</v>
      </c>
      <c r="C13">
        <v>7.07</v>
      </c>
      <c r="D13">
        <v>0</v>
      </c>
      <c r="E13">
        <v>308.2</v>
      </c>
      <c r="F13">
        <v>12.9</v>
      </c>
      <c r="G13">
        <v>0</v>
      </c>
      <c r="L13">
        <v>7.07</v>
      </c>
      <c r="M13">
        <v>0</v>
      </c>
      <c r="N13">
        <v>308.2</v>
      </c>
      <c r="O13">
        <v>12.9</v>
      </c>
      <c r="P13">
        <v>0</v>
      </c>
    </row>
    <row r="14" spans="1:19" x14ac:dyDescent="0.25">
      <c r="A14">
        <v>7</v>
      </c>
      <c r="B14" t="s">
        <v>18</v>
      </c>
      <c r="C14">
        <v>7.19</v>
      </c>
      <c r="D14">
        <v>0.48</v>
      </c>
      <c r="E14">
        <v>238783.9</v>
      </c>
      <c r="F14">
        <v>18534.099999999999</v>
      </c>
      <c r="G14">
        <v>0.48399999999999999</v>
      </c>
      <c r="L14">
        <v>7.19</v>
      </c>
      <c r="M14">
        <v>0.48</v>
      </c>
      <c r="N14">
        <v>238783.9</v>
      </c>
      <c r="O14">
        <v>18534.099999999999</v>
      </c>
      <c r="P14">
        <v>0.48399999999999999</v>
      </c>
    </row>
    <row r="15" spans="1:19" x14ac:dyDescent="0.25">
      <c r="A15">
        <v>8</v>
      </c>
      <c r="B15" t="s">
        <v>18</v>
      </c>
      <c r="C15">
        <v>7.4</v>
      </c>
      <c r="D15">
        <v>0</v>
      </c>
      <c r="E15">
        <v>2595.3000000000002</v>
      </c>
      <c r="F15">
        <v>38.299999999999997</v>
      </c>
      <c r="G15">
        <v>1E-3</v>
      </c>
      <c r="L15">
        <v>7.4</v>
      </c>
      <c r="M15">
        <v>0</v>
      </c>
      <c r="N15">
        <v>2595.3000000000002</v>
      </c>
      <c r="O15">
        <v>38.299999999999997</v>
      </c>
      <c r="P15">
        <v>1E-3</v>
      </c>
    </row>
    <row r="16" spans="1:19" x14ac:dyDescent="0.25">
      <c r="A16">
        <v>47</v>
      </c>
      <c r="B16" t="s">
        <v>18</v>
      </c>
      <c r="C16">
        <v>7.43</v>
      </c>
      <c r="D16">
        <v>2.61</v>
      </c>
      <c r="E16">
        <v>1041017.5</v>
      </c>
      <c r="F16">
        <v>99981.8</v>
      </c>
      <c r="G16">
        <v>2.6120000000000001</v>
      </c>
      <c r="L16">
        <v>7.43</v>
      </c>
      <c r="M16">
        <v>2.61</v>
      </c>
      <c r="N16">
        <v>1041017.5</v>
      </c>
      <c r="O16">
        <v>99981.8</v>
      </c>
      <c r="P16">
        <v>2.6120000000000001</v>
      </c>
    </row>
    <row r="17" spans="1:16" x14ac:dyDescent="0.25">
      <c r="A17">
        <v>9</v>
      </c>
      <c r="B17" t="s">
        <v>29</v>
      </c>
      <c r="C17">
        <v>7.74</v>
      </c>
      <c r="D17">
        <v>0</v>
      </c>
      <c r="E17">
        <v>2783.4</v>
      </c>
      <c r="F17">
        <v>48.4</v>
      </c>
      <c r="G17">
        <v>1E-3</v>
      </c>
      <c r="L17">
        <v>7.74</v>
      </c>
      <c r="M17">
        <v>0</v>
      </c>
      <c r="N17">
        <v>2783.4</v>
      </c>
      <c r="O17">
        <v>48.4</v>
      </c>
      <c r="P17">
        <v>1E-3</v>
      </c>
    </row>
    <row r="18" spans="1:16" x14ac:dyDescent="0.25">
      <c r="A18">
        <v>55</v>
      </c>
      <c r="B18" t="s">
        <v>18</v>
      </c>
      <c r="C18">
        <v>7.8</v>
      </c>
      <c r="D18">
        <v>1.2</v>
      </c>
      <c r="E18">
        <v>1037452.8</v>
      </c>
      <c r="F18">
        <v>46118.400000000001</v>
      </c>
      <c r="G18">
        <v>1.2050000000000001</v>
      </c>
      <c r="L18">
        <v>7.8</v>
      </c>
      <c r="M18">
        <v>1.2</v>
      </c>
      <c r="N18">
        <v>1037452.8</v>
      </c>
      <c r="O18">
        <v>46118.400000000001</v>
      </c>
      <c r="P18">
        <v>1.2050000000000001</v>
      </c>
    </row>
    <row r="19" spans="1:16" x14ac:dyDescent="0.25">
      <c r="A19">
        <v>45</v>
      </c>
      <c r="B19" t="s">
        <v>30</v>
      </c>
      <c r="C19">
        <v>7.85</v>
      </c>
      <c r="D19">
        <v>0.9</v>
      </c>
      <c r="E19">
        <v>752464.1</v>
      </c>
      <c r="F19">
        <v>34387.800000000003</v>
      </c>
      <c r="G19">
        <v>0.89800000000000002</v>
      </c>
      <c r="L19">
        <v>7.85</v>
      </c>
      <c r="M19">
        <v>0.9</v>
      </c>
      <c r="N19">
        <v>752464.1</v>
      </c>
      <c r="O19">
        <v>34387.800000000003</v>
      </c>
      <c r="P19">
        <v>0.89800000000000002</v>
      </c>
    </row>
    <row r="20" spans="1:16" x14ac:dyDescent="0.25">
      <c r="A20">
        <v>46</v>
      </c>
      <c r="B20" t="s">
        <v>18</v>
      </c>
      <c r="C20">
        <v>7.92</v>
      </c>
      <c r="D20">
        <v>0.02</v>
      </c>
      <c r="E20">
        <v>149806.5</v>
      </c>
      <c r="F20">
        <v>879.6</v>
      </c>
      <c r="G20">
        <v>2.3E-2</v>
      </c>
      <c r="L20">
        <v>7.92</v>
      </c>
      <c r="M20">
        <v>0.02</v>
      </c>
      <c r="N20">
        <v>149806.5</v>
      </c>
      <c r="O20">
        <v>879.6</v>
      </c>
      <c r="P20">
        <v>2.3E-2</v>
      </c>
    </row>
    <row r="21" spans="1:16" x14ac:dyDescent="0.25">
      <c r="A21">
        <v>10</v>
      </c>
      <c r="B21" t="s">
        <v>18</v>
      </c>
      <c r="C21">
        <v>7.93</v>
      </c>
      <c r="D21">
        <v>1.3</v>
      </c>
      <c r="E21">
        <v>681206.6</v>
      </c>
      <c r="F21">
        <v>49636.4</v>
      </c>
      <c r="G21">
        <v>1.2969999999999999</v>
      </c>
      <c r="L21">
        <v>7.93</v>
      </c>
      <c r="M21">
        <v>1.3</v>
      </c>
      <c r="N21">
        <v>681206.6</v>
      </c>
      <c r="O21">
        <v>49636.4</v>
      </c>
      <c r="P21">
        <v>1.2969999999999999</v>
      </c>
    </row>
    <row r="22" spans="1:16" x14ac:dyDescent="0.25">
      <c r="A22">
        <v>11</v>
      </c>
      <c r="B22" t="s">
        <v>31</v>
      </c>
      <c r="C22">
        <v>8.16</v>
      </c>
      <c r="D22">
        <v>0.19</v>
      </c>
      <c r="E22">
        <v>172236.1</v>
      </c>
      <c r="F22">
        <v>7386.2</v>
      </c>
      <c r="G22">
        <v>0.193</v>
      </c>
      <c r="L22">
        <v>8.16</v>
      </c>
      <c r="M22">
        <v>0.19</v>
      </c>
      <c r="N22">
        <v>172236.1</v>
      </c>
      <c r="O22">
        <v>7386.2</v>
      </c>
      <c r="P22">
        <v>0.193</v>
      </c>
    </row>
    <row r="23" spans="1:16" x14ac:dyDescent="0.25">
      <c r="A23">
        <v>33</v>
      </c>
      <c r="B23" t="s">
        <v>18</v>
      </c>
      <c r="C23">
        <v>8.31</v>
      </c>
      <c r="D23">
        <v>0.01</v>
      </c>
      <c r="E23">
        <v>3897.5</v>
      </c>
      <c r="F23">
        <v>242.1</v>
      </c>
      <c r="G23">
        <v>6.0000000000000001E-3</v>
      </c>
      <c r="L23">
        <v>8.31</v>
      </c>
      <c r="M23">
        <v>0.01</v>
      </c>
      <c r="N23">
        <v>3897.5</v>
      </c>
      <c r="O23">
        <v>242.1</v>
      </c>
      <c r="P23">
        <v>6.0000000000000001E-3</v>
      </c>
    </row>
    <row r="24" spans="1:16" x14ac:dyDescent="0.25">
      <c r="A24">
        <v>12</v>
      </c>
      <c r="B24" t="s">
        <v>18</v>
      </c>
      <c r="C24">
        <v>8.3800000000000008</v>
      </c>
      <c r="D24">
        <v>0</v>
      </c>
      <c r="E24">
        <v>1445.5</v>
      </c>
      <c r="F24">
        <v>40.799999999999997</v>
      </c>
      <c r="G24">
        <v>1E-3</v>
      </c>
      <c r="L24">
        <v>8.3800000000000008</v>
      </c>
      <c r="M24">
        <v>0</v>
      </c>
      <c r="N24">
        <v>1445.5</v>
      </c>
      <c r="O24">
        <v>40.799999999999997</v>
      </c>
      <c r="P24">
        <v>1E-3</v>
      </c>
    </row>
    <row r="25" spans="1:16" x14ac:dyDescent="0.25">
      <c r="A25">
        <v>48</v>
      </c>
      <c r="B25" t="s">
        <v>32</v>
      </c>
      <c r="C25">
        <v>8.42</v>
      </c>
      <c r="D25">
        <v>0</v>
      </c>
      <c r="E25">
        <v>2591.8000000000002</v>
      </c>
      <c r="F25">
        <v>99.2</v>
      </c>
      <c r="G25">
        <v>3.0000000000000001E-3</v>
      </c>
      <c r="L25">
        <v>8.42</v>
      </c>
      <c r="M25">
        <v>0</v>
      </c>
      <c r="N25">
        <v>2591.8000000000002</v>
      </c>
      <c r="O25">
        <v>99.2</v>
      </c>
      <c r="P25">
        <v>3.0000000000000001E-3</v>
      </c>
    </row>
    <row r="26" spans="1:16" x14ac:dyDescent="0.25">
      <c r="A26">
        <v>34</v>
      </c>
      <c r="B26" t="s">
        <v>18</v>
      </c>
      <c r="C26">
        <v>8.49</v>
      </c>
      <c r="D26">
        <v>0.06</v>
      </c>
      <c r="E26">
        <v>42241.7</v>
      </c>
      <c r="F26">
        <v>2464.4</v>
      </c>
      <c r="G26">
        <v>6.4000000000000001E-2</v>
      </c>
      <c r="L26">
        <v>8.49</v>
      </c>
      <c r="M26">
        <v>0.06</v>
      </c>
      <c r="N26">
        <v>42241.7</v>
      </c>
      <c r="O26">
        <v>2464.4</v>
      </c>
      <c r="P26">
        <v>6.4000000000000001E-2</v>
      </c>
    </row>
    <row r="27" spans="1:16" x14ac:dyDescent="0.25">
      <c r="A27">
        <v>13</v>
      </c>
      <c r="B27" t="s">
        <v>18</v>
      </c>
      <c r="C27">
        <v>8.68</v>
      </c>
      <c r="D27">
        <v>0</v>
      </c>
      <c r="E27">
        <v>3539.9</v>
      </c>
      <c r="F27">
        <v>116.7</v>
      </c>
      <c r="G27">
        <v>3.0000000000000001E-3</v>
      </c>
      <c r="L27">
        <v>8.68</v>
      </c>
      <c r="M27">
        <v>0</v>
      </c>
      <c r="N27">
        <v>3539.9</v>
      </c>
      <c r="O27">
        <v>116.7</v>
      </c>
      <c r="P27">
        <v>3.0000000000000001E-3</v>
      </c>
    </row>
    <row r="28" spans="1:16" x14ac:dyDescent="0.25">
      <c r="A28">
        <v>35</v>
      </c>
      <c r="B28" t="s">
        <v>18</v>
      </c>
      <c r="C28">
        <v>8.77</v>
      </c>
      <c r="D28">
        <v>0</v>
      </c>
      <c r="E28">
        <v>595.5</v>
      </c>
      <c r="F28">
        <v>31.3</v>
      </c>
      <c r="G28">
        <v>1E-3</v>
      </c>
      <c r="L28">
        <v>8.77</v>
      </c>
      <c r="M28">
        <v>0</v>
      </c>
      <c r="N28">
        <v>595.5</v>
      </c>
      <c r="O28">
        <v>31.3</v>
      </c>
      <c r="P28">
        <v>1E-3</v>
      </c>
    </row>
    <row r="29" spans="1:16" x14ac:dyDescent="0.25">
      <c r="A29">
        <v>14</v>
      </c>
      <c r="B29" t="s">
        <v>18</v>
      </c>
      <c r="C29">
        <v>8.86</v>
      </c>
      <c r="D29">
        <v>0</v>
      </c>
      <c r="E29">
        <v>2524.1</v>
      </c>
      <c r="F29">
        <v>82.5</v>
      </c>
      <c r="G29">
        <v>2E-3</v>
      </c>
      <c r="L29">
        <v>8.86</v>
      </c>
      <c r="M29">
        <v>0</v>
      </c>
      <c r="N29">
        <v>2524.1</v>
      </c>
      <c r="O29">
        <v>82.5</v>
      </c>
      <c r="P29">
        <v>2E-3</v>
      </c>
    </row>
    <row r="30" spans="1:16" x14ac:dyDescent="0.25">
      <c r="A30">
        <v>36</v>
      </c>
      <c r="B30" t="s">
        <v>18</v>
      </c>
      <c r="C30">
        <v>8.91</v>
      </c>
      <c r="D30">
        <v>0</v>
      </c>
      <c r="E30">
        <v>1794.9</v>
      </c>
      <c r="F30">
        <v>63.4</v>
      </c>
      <c r="G30">
        <v>2E-3</v>
      </c>
      <c r="L30">
        <v>8.91</v>
      </c>
      <c r="M30">
        <v>0</v>
      </c>
      <c r="N30">
        <v>1794.9</v>
      </c>
      <c r="O30">
        <v>63.4</v>
      </c>
      <c r="P30">
        <v>2E-3</v>
      </c>
    </row>
    <row r="31" spans="1:16" x14ac:dyDescent="0.25">
      <c r="A31">
        <v>37</v>
      </c>
      <c r="B31" t="s">
        <v>18</v>
      </c>
      <c r="C31">
        <v>9</v>
      </c>
      <c r="D31">
        <v>0</v>
      </c>
      <c r="E31">
        <v>212.9</v>
      </c>
      <c r="F31">
        <v>11.1</v>
      </c>
      <c r="G31">
        <v>0</v>
      </c>
      <c r="L31">
        <v>9</v>
      </c>
      <c r="M31">
        <v>0</v>
      </c>
      <c r="N31">
        <v>212.9</v>
      </c>
      <c r="O31">
        <v>11.1</v>
      </c>
      <c r="P31">
        <v>0</v>
      </c>
    </row>
    <row r="32" spans="1:16" x14ac:dyDescent="0.25">
      <c r="A32">
        <v>15</v>
      </c>
      <c r="B32" t="s">
        <v>18</v>
      </c>
      <c r="C32">
        <v>9.06</v>
      </c>
      <c r="D32">
        <v>0</v>
      </c>
      <c r="E32">
        <v>1731.8</v>
      </c>
      <c r="F32">
        <v>76.900000000000006</v>
      </c>
      <c r="G32">
        <v>2E-3</v>
      </c>
      <c r="L32">
        <v>9.06</v>
      </c>
      <c r="M32">
        <v>0</v>
      </c>
      <c r="N32">
        <v>1731.8</v>
      </c>
      <c r="O32">
        <v>76.900000000000006</v>
      </c>
      <c r="P32">
        <v>2E-3</v>
      </c>
    </row>
    <row r="33" spans="1:16" x14ac:dyDescent="0.25">
      <c r="A33">
        <v>38</v>
      </c>
      <c r="B33" t="s">
        <v>18</v>
      </c>
      <c r="C33">
        <v>9.16</v>
      </c>
      <c r="D33">
        <v>0</v>
      </c>
      <c r="E33">
        <v>335.4</v>
      </c>
      <c r="F33">
        <v>14.5</v>
      </c>
      <c r="G33">
        <v>0</v>
      </c>
      <c r="L33">
        <v>9.16</v>
      </c>
      <c r="M33">
        <v>0</v>
      </c>
      <c r="N33">
        <v>335.4</v>
      </c>
      <c r="O33">
        <v>14.5</v>
      </c>
      <c r="P33">
        <v>0</v>
      </c>
    </row>
    <row r="34" spans="1:16" x14ac:dyDescent="0.25">
      <c r="A34">
        <v>16</v>
      </c>
      <c r="B34" t="s">
        <v>33</v>
      </c>
      <c r="C34">
        <v>9.2899999999999991</v>
      </c>
      <c r="D34">
        <v>0.03</v>
      </c>
      <c r="E34">
        <v>22738.799999999999</v>
      </c>
      <c r="F34">
        <v>1067.3</v>
      </c>
      <c r="G34">
        <v>2.8000000000000001E-2</v>
      </c>
      <c r="L34">
        <v>9.2899999999999991</v>
      </c>
      <c r="M34">
        <v>0.03</v>
      </c>
      <c r="N34">
        <v>22738.799999999999</v>
      </c>
      <c r="O34">
        <v>1067.3</v>
      </c>
      <c r="P34">
        <v>2.8000000000000001E-2</v>
      </c>
    </row>
    <row r="35" spans="1:16" x14ac:dyDescent="0.25">
      <c r="A35">
        <v>49</v>
      </c>
      <c r="B35" t="s">
        <v>18</v>
      </c>
      <c r="C35">
        <v>9.3699999999999992</v>
      </c>
      <c r="D35">
        <v>0.09</v>
      </c>
      <c r="E35">
        <v>54471.8</v>
      </c>
      <c r="F35">
        <v>3330.3</v>
      </c>
      <c r="G35">
        <v>8.6999999999999994E-2</v>
      </c>
      <c r="L35">
        <v>9.3699999999999992</v>
      </c>
      <c r="M35">
        <v>0.09</v>
      </c>
      <c r="N35">
        <v>54471.8</v>
      </c>
      <c r="O35">
        <v>3330.3</v>
      </c>
      <c r="P35">
        <v>8.6999999999999994E-2</v>
      </c>
    </row>
    <row r="36" spans="1:16" x14ac:dyDescent="0.25">
      <c r="A36">
        <v>17</v>
      </c>
      <c r="B36" t="s">
        <v>34</v>
      </c>
      <c r="C36">
        <v>9.52</v>
      </c>
      <c r="D36">
        <v>0.01</v>
      </c>
      <c r="E36">
        <v>7407.2</v>
      </c>
      <c r="F36">
        <v>329</v>
      </c>
      <c r="G36">
        <v>8.9999999999999993E-3</v>
      </c>
      <c r="L36">
        <v>9.52</v>
      </c>
      <c r="M36">
        <v>0.01</v>
      </c>
      <c r="N36">
        <v>7407.2</v>
      </c>
      <c r="O36">
        <v>329</v>
      </c>
      <c r="P36">
        <v>8.9999999999999993E-3</v>
      </c>
    </row>
    <row r="37" spans="1:16" x14ac:dyDescent="0.25">
      <c r="A37">
        <v>50</v>
      </c>
      <c r="B37" t="s">
        <v>18</v>
      </c>
      <c r="C37">
        <v>9.57</v>
      </c>
      <c r="D37">
        <v>0.02</v>
      </c>
      <c r="E37">
        <v>7062.1</v>
      </c>
      <c r="F37">
        <v>605.70000000000005</v>
      </c>
      <c r="G37">
        <v>1.6E-2</v>
      </c>
      <c r="L37">
        <v>9.57</v>
      </c>
      <c r="M37">
        <v>0.02</v>
      </c>
      <c r="N37">
        <v>7062.1</v>
      </c>
      <c r="O37">
        <v>605.70000000000005</v>
      </c>
      <c r="P37">
        <v>1.6E-2</v>
      </c>
    </row>
    <row r="38" spans="1:16" x14ac:dyDescent="0.25">
      <c r="A38">
        <v>18</v>
      </c>
      <c r="B38" t="s">
        <v>18</v>
      </c>
      <c r="C38">
        <v>9.8800000000000008</v>
      </c>
      <c r="D38">
        <v>0.01</v>
      </c>
      <c r="E38">
        <v>2386.5</v>
      </c>
      <c r="F38">
        <v>222.9</v>
      </c>
      <c r="G38">
        <v>6.0000000000000001E-3</v>
      </c>
      <c r="L38">
        <v>9.8800000000000008</v>
      </c>
      <c r="M38">
        <v>0.01</v>
      </c>
      <c r="N38">
        <v>2386.5</v>
      </c>
      <c r="O38">
        <v>222.9</v>
      </c>
      <c r="P38">
        <v>6.0000000000000001E-3</v>
      </c>
    </row>
    <row r="39" spans="1:16" x14ac:dyDescent="0.25">
      <c r="A39">
        <v>19</v>
      </c>
      <c r="B39" t="s">
        <v>18</v>
      </c>
      <c r="C39">
        <v>10.050000000000001</v>
      </c>
      <c r="D39">
        <v>0.02</v>
      </c>
      <c r="E39">
        <v>6436.6</v>
      </c>
      <c r="F39">
        <v>600.20000000000005</v>
      </c>
      <c r="G39">
        <v>1.6E-2</v>
      </c>
      <c r="L39">
        <v>10.050000000000001</v>
      </c>
      <c r="M39">
        <v>0.02</v>
      </c>
      <c r="N39">
        <v>6436.6</v>
      </c>
      <c r="O39">
        <v>600.20000000000005</v>
      </c>
      <c r="P39">
        <v>1.6E-2</v>
      </c>
    </row>
    <row r="40" spans="1:16" x14ac:dyDescent="0.25">
      <c r="A40">
        <v>39</v>
      </c>
      <c r="B40" t="s">
        <v>18</v>
      </c>
      <c r="C40">
        <v>10.32</v>
      </c>
      <c r="D40">
        <v>0</v>
      </c>
      <c r="E40">
        <v>1367.8</v>
      </c>
      <c r="F40">
        <v>61.4</v>
      </c>
      <c r="G40">
        <v>2E-3</v>
      </c>
      <c r="L40">
        <v>10.32</v>
      </c>
      <c r="M40">
        <v>0</v>
      </c>
      <c r="N40">
        <v>1367.8</v>
      </c>
      <c r="O40">
        <v>61.4</v>
      </c>
      <c r="P40">
        <v>2E-3</v>
      </c>
    </row>
    <row r="41" spans="1:16" x14ac:dyDescent="0.25">
      <c r="A41">
        <v>20</v>
      </c>
      <c r="B41" t="s">
        <v>18</v>
      </c>
      <c r="C41">
        <v>10.52</v>
      </c>
      <c r="D41">
        <v>0.01</v>
      </c>
      <c r="E41">
        <v>1891.4</v>
      </c>
      <c r="F41">
        <v>277.7</v>
      </c>
      <c r="G41">
        <v>7.0000000000000001E-3</v>
      </c>
      <c r="L41">
        <v>10.52</v>
      </c>
      <c r="M41">
        <v>0.01</v>
      </c>
      <c r="N41">
        <v>1891.4</v>
      </c>
      <c r="O41">
        <v>277.7</v>
      </c>
      <c r="P41">
        <v>7.0000000000000001E-3</v>
      </c>
    </row>
    <row r="42" spans="1:16" x14ac:dyDescent="0.25">
      <c r="A42">
        <v>21</v>
      </c>
      <c r="B42" t="s">
        <v>35</v>
      </c>
      <c r="C42">
        <v>10.73</v>
      </c>
      <c r="D42">
        <v>0.01</v>
      </c>
      <c r="E42">
        <v>10281.200000000001</v>
      </c>
      <c r="F42">
        <v>454.9</v>
      </c>
      <c r="G42">
        <v>1.2E-2</v>
      </c>
      <c r="L42">
        <v>10.73</v>
      </c>
      <c r="M42">
        <v>0.01</v>
      </c>
      <c r="N42">
        <v>10281.200000000001</v>
      </c>
      <c r="O42">
        <v>454.9</v>
      </c>
      <c r="P42">
        <v>1.2E-2</v>
      </c>
    </row>
    <row r="43" spans="1:16" x14ac:dyDescent="0.25">
      <c r="A43">
        <v>51</v>
      </c>
      <c r="B43" t="s">
        <v>18</v>
      </c>
      <c r="C43">
        <v>10.78</v>
      </c>
      <c r="D43">
        <v>0</v>
      </c>
      <c r="E43">
        <v>7058.7</v>
      </c>
      <c r="F43">
        <v>133.4</v>
      </c>
      <c r="G43">
        <v>3.0000000000000001E-3</v>
      </c>
      <c r="L43">
        <v>10.78</v>
      </c>
      <c r="M43">
        <v>0</v>
      </c>
      <c r="N43">
        <v>7058.7</v>
      </c>
      <c r="O43">
        <v>133.4</v>
      </c>
      <c r="P43">
        <v>3.0000000000000001E-3</v>
      </c>
    </row>
    <row r="44" spans="1:16" x14ac:dyDescent="0.25">
      <c r="A44">
        <v>40</v>
      </c>
      <c r="B44" t="s">
        <v>18</v>
      </c>
      <c r="C44">
        <v>10.85</v>
      </c>
      <c r="D44">
        <v>7.0000000000000007E-2</v>
      </c>
      <c r="E44">
        <v>30226.6</v>
      </c>
      <c r="F44">
        <v>2866</v>
      </c>
      <c r="G44">
        <v>7.4999999999999997E-2</v>
      </c>
      <c r="L44">
        <v>10.85</v>
      </c>
      <c r="M44">
        <v>7.0000000000000007E-2</v>
      </c>
      <c r="N44">
        <v>30226.6</v>
      </c>
      <c r="O44">
        <v>2866</v>
      </c>
      <c r="P44">
        <v>7.4999999999999997E-2</v>
      </c>
    </row>
    <row r="45" spans="1:16" x14ac:dyDescent="0.25">
      <c r="A45">
        <v>22</v>
      </c>
      <c r="B45" t="s">
        <v>18</v>
      </c>
      <c r="C45" s="1">
        <v>10.96</v>
      </c>
      <c r="D45">
        <v>0.23</v>
      </c>
      <c r="E45">
        <v>50417.1</v>
      </c>
      <c r="F45">
        <v>8747.7000000000007</v>
      </c>
      <c r="G45">
        <v>0.22900000000000001</v>
      </c>
      <c r="L45" s="1">
        <v>10.96</v>
      </c>
      <c r="M45">
        <v>0.23</v>
      </c>
      <c r="N45">
        <v>50417.1</v>
      </c>
      <c r="O45">
        <v>8747.7000000000007</v>
      </c>
      <c r="P45">
        <v>0.22900000000000001</v>
      </c>
    </row>
    <row r="46" spans="1:16" x14ac:dyDescent="0.25">
      <c r="A46">
        <v>23</v>
      </c>
      <c r="B46" t="s">
        <v>18</v>
      </c>
      <c r="C46" s="1">
        <v>11.31</v>
      </c>
      <c r="D46">
        <v>7.0000000000000007E-2</v>
      </c>
      <c r="E46">
        <v>17695.599999999999</v>
      </c>
      <c r="F46">
        <v>2593</v>
      </c>
      <c r="G46">
        <v>6.8000000000000005E-2</v>
      </c>
      <c r="L46" s="1">
        <v>11.31</v>
      </c>
      <c r="M46">
        <v>7.0000000000000007E-2</v>
      </c>
      <c r="N46">
        <v>17695.599999999999</v>
      </c>
      <c r="O46">
        <v>2593</v>
      </c>
      <c r="P46">
        <v>6.8000000000000005E-2</v>
      </c>
    </row>
    <row r="47" spans="1:16" x14ac:dyDescent="0.25">
      <c r="A47">
        <v>52</v>
      </c>
      <c r="B47" t="s">
        <v>18</v>
      </c>
      <c r="C47" s="1">
        <v>11.51</v>
      </c>
      <c r="D47">
        <v>0.01</v>
      </c>
      <c r="E47">
        <v>7373.9</v>
      </c>
      <c r="F47">
        <v>347.5</v>
      </c>
      <c r="G47">
        <v>8.9999999999999993E-3</v>
      </c>
      <c r="L47" s="1">
        <v>11.51</v>
      </c>
      <c r="M47">
        <v>0.01</v>
      </c>
      <c r="N47">
        <v>7373.9</v>
      </c>
      <c r="O47">
        <v>347.5</v>
      </c>
      <c r="P47">
        <v>8.9999999999999993E-3</v>
      </c>
    </row>
    <row r="48" spans="1:16" x14ac:dyDescent="0.25">
      <c r="A48">
        <v>24</v>
      </c>
      <c r="B48" t="s">
        <v>18</v>
      </c>
      <c r="C48" s="1">
        <v>11.58</v>
      </c>
      <c r="D48">
        <v>0.01</v>
      </c>
      <c r="E48">
        <v>10523</v>
      </c>
      <c r="F48">
        <v>340.7</v>
      </c>
      <c r="G48">
        <v>8.9999999999999993E-3</v>
      </c>
      <c r="L48" s="1">
        <v>11.58</v>
      </c>
      <c r="M48">
        <v>0.01</v>
      </c>
      <c r="N48">
        <v>10523</v>
      </c>
      <c r="O48">
        <v>340.7</v>
      </c>
      <c r="P48">
        <v>8.9999999999999993E-3</v>
      </c>
    </row>
    <row r="49" spans="1:16" x14ac:dyDescent="0.25">
      <c r="A49">
        <v>53</v>
      </c>
      <c r="B49" t="s">
        <v>18</v>
      </c>
      <c r="C49" s="1">
        <v>11.61</v>
      </c>
      <c r="D49">
        <v>0.14000000000000001</v>
      </c>
      <c r="E49">
        <v>27162.7</v>
      </c>
      <c r="F49">
        <v>5288</v>
      </c>
      <c r="G49">
        <v>0.13800000000000001</v>
      </c>
      <c r="L49" s="1">
        <v>11.61</v>
      </c>
      <c r="M49">
        <v>0.14000000000000001</v>
      </c>
      <c r="N49">
        <v>27162.7</v>
      </c>
      <c r="O49">
        <v>5288</v>
      </c>
      <c r="P49">
        <v>0.13800000000000001</v>
      </c>
    </row>
    <row r="50" spans="1:16" x14ac:dyDescent="0.25">
      <c r="A50">
        <v>25</v>
      </c>
      <c r="B50" t="s">
        <v>18</v>
      </c>
      <c r="C50">
        <v>12.09</v>
      </c>
      <c r="D50">
        <v>0.01</v>
      </c>
      <c r="E50">
        <v>2709.6</v>
      </c>
      <c r="F50">
        <v>374.3</v>
      </c>
      <c r="G50">
        <v>0.01</v>
      </c>
      <c r="L50">
        <v>12.09</v>
      </c>
      <c r="M50">
        <v>0.01</v>
      </c>
      <c r="N50">
        <v>2709.6</v>
      </c>
      <c r="O50">
        <v>374.3</v>
      </c>
      <c r="P50">
        <v>0.01</v>
      </c>
    </row>
    <row r="51" spans="1:16" x14ac:dyDescent="0.25">
      <c r="A51">
        <v>26</v>
      </c>
      <c r="B51" t="s">
        <v>18</v>
      </c>
      <c r="C51">
        <v>12.29</v>
      </c>
      <c r="D51">
        <v>0.02</v>
      </c>
      <c r="E51">
        <v>3721.3</v>
      </c>
      <c r="F51">
        <v>730.5</v>
      </c>
      <c r="G51">
        <v>1.9E-2</v>
      </c>
      <c r="L51">
        <v>12.29</v>
      </c>
      <c r="M51">
        <v>0.02</v>
      </c>
      <c r="N51">
        <v>3721.3</v>
      </c>
      <c r="O51">
        <v>730.5</v>
      </c>
      <c r="P51">
        <v>1.9E-2</v>
      </c>
    </row>
    <row r="52" spans="1:16" x14ac:dyDescent="0.25">
      <c r="A52">
        <v>27</v>
      </c>
      <c r="B52" t="s">
        <v>18</v>
      </c>
      <c r="C52">
        <v>12.58</v>
      </c>
      <c r="D52">
        <v>0</v>
      </c>
      <c r="E52">
        <v>1427.1</v>
      </c>
      <c r="F52">
        <v>156.4</v>
      </c>
      <c r="G52">
        <v>4.0000000000000001E-3</v>
      </c>
      <c r="L52">
        <v>12.58</v>
      </c>
      <c r="M52">
        <v>0</v>
      </c>
      <c r="N52">
        <v>1427.1</v>
      </c>
      <c r="O52">
        <v>156.4</v>
      </c>
      <c r="P52">
        <v>4.0000000000000001E-3</v>
      </c>
    </row>
    <row r="53" spans="1:16" x14ac:dyDescent="0.25">
      <c r="A53">
        <v>43</v>
      </c>
      <c r="B53" t="s">
        <v>18</v>
      </c>
      <c r="C53">
        <v>12.68</v>
      </c>
      <c r="D53">
        <v>0</v>
      </c>
      <c r="E53">
        <v>1530.9</v>
      </c>
      <c r="F53">
        <v>122.4</v>
      </c>
      <c r="G53">
        <v>3.0000000000000001E-3</v>
      </c>
      <c r="L53">
        <v>12.68</v>
      </c>
      <c r="M53">
        <v>0</v>
      </c>
      <c r="N53">
        <v>1530.9</v>
      </c>
      <c r="O53">
        <v>122.4</v>
      </c>
      <c r="P53">
        <v>3.0000000000000001E-3</v>
      </c>
    </row>
    <row r="54" spans="1:16" x14ac:dyDescent="0.25">
      <c r="A54">
        <v>28</v>
      </c>
      <c r="B54" t="s">
        <v>18</v>
      </c>
      <c r="C54">
        <v>12.77</v>
      </c>
      <c r="D54">
        <v>0.02</v>
      </c>
      <c r="E54">
        <v>3712.9</v>
      </c>
      <c r="F54">
        <v>622.5</v>
      </c>
      <c r="G54">
        <v>1.6E-2</v>
      </c>
      <c r="L54">
        <v>12.77</v>
      </c>
      <c r="M54">
        <v>0.02</v>
      </c>
      <c r="N54">
        <v>3712.9</v>
      </c>
      <c r="O54">
        <v>622.5</v>
      </c>
      <c r="P54">
        <v>1.6E-2</v>
      </c>
    </row>
    <row r="55" spans="1:16" x14ac:dyDescent="0.25">
      <c r="A55">
        <v>41</v>
      </c>
      <c r="B55" t="s">
        <v>18</v>
      </c>
      <c r="C55">
        <v>13.21</v>
      </c>
      <c r="D55">
        <v>0</v>
      </c>
      <c r="E55">
        <v>733.7</v>
      </c>
      <c r="F55">
        <v>108.3</v>
      </c>
      <c r="G55">
        <v>3.0000000000000001E-3</v>
      </c>
      <c r="L55">
        <v>13.21</v>
      </c>
      <c r="M55">
        <v>0</v>
      </c>
      <c r="N55">
        <v>733.7</v>
      </c>
      <c r="O55">
        <v>108.3</v>
      </c>
      <c r="P55">
        <v>3.0000000000000001E-3</v>
      </c>
    </row>
    <row r="56" spans="1:16" x14ac:dyDescent="0.25">
      <c r="A56">
        <v>42</v>
      </c>
      <c r="B56" t="s">
        <v>18</v>
      </c>
      <c r="C56">
        <v>13.32</v>
      </c>
      <c r="D56">
        <v>0</v>
      </c>
      <c r="E56">
        <v>1051.7</v>
      </c>
      <c r="F56">
        <v>105.3</v>
      </c>
      <c r="G56">
        <v>3.0000000000000001E-3</v>
      </c>
      <c r="L56">
        <v>13.32</v>
      </c>
      <c r="M56">
        <v>0</v>
      </c>
      <c r="N56">
        <v>1051.7</v>
      </c>
      <c r="O56">
        <v>105.3</v>
      </c>
      <c r="P56">
        <v>3.0000000000000001E-3</v>
      </c>
    </row>
    <row r="57" spans="1:16" x14ac:dyDescent="0.25">
      <c r="A57">
        <v>29</v>
      </c>
      <c r="B57" t="s">
        <v>18</v>
      </c>
      <c r="C57">
        <v>14.12</v>
      </c>
      <c r="D57">
        <v>0</v>
      </c>
      <c r="E57">
        <v>970</v>
      </c>
      <c r="F57">
        <v>148.80000000000001</v>
      </c>
      <c r="G57">
        <v>4.0000000000000001E-3</v>
      </c>
      <c r="L57">
        <v>14.12</v>
      </c>
      <c r="M57">
        <v>0</v>
      </c>
      <c r="N57">
        <v>970</v>
      </c>
      <c r="O57">
        <v>148.80000000000001</v>
      </c>
      <c r="P57">
        <v>4.0000000000000001E-3</v>
      </c>
    </row>
    <row r="58" spans="1:16" x14ac:dyDescent="0.25">
      <c r="A58" t="s">
        <v>7</v>
      </c>
      <c r="B58" t="s">
        <v>7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  <c r="L58" t="s">
        <v>7</v>
      </c>
      <c r="M58" t="s">
        <v>7</v>
      </c>
      <c r="N58" t="s">
        <v>7</v>
      </c>
      <c r="O58" t="s">
        <v>7</v>
      </c>
      <c r="P58" t="s">
        <v>7</v>
      </c>
    </row>
    <row r="59" spans="1:16" x14ac:dyDescent="0.25">
      <c r="A59" t="s">
        <v>36</v>
      </c>
      <c r="B59" t="s">
        <v>37</v>
      </c>
      <c r="C59" t="s">
        <v>37</v>
      </c>
      <c r="D59">
        <v>100</v>
      </c>
      <c r="E59">
        <v>487417009.39999998</v>
      </c>
      <c r="F59">
        <v>3828109.5</v>
      </c>
      <c r="G59">
        <v>100</v>
      </c>
      <c r="L59" t="s">
        <v>37</v>
      </c>
      <c r="M59">
        <v>100</v>
      </c>
      <c r="N59">
        <v>487417009.39999998</v>
      </c>
      <c r="O59">
        <v>3828109.5</v>
      </c>
      <c r="P59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12.1</vt:lpstr>
      <vt:lpstr>9.1</vt:lpstr>
      <vt:lpstr>6.1</vt:lpstr>
      <vt:lpstr>5.1</vt:lpstr>
      <vt:lpstr>3.1</vt:lpstr>
      <vt:lpstr>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Vidal</dc:creator>
  <cp:lastModifiedBy>Javier Salas Garcia</cp:lastModifiedBy>
  <dcterms:created xsi:type="dcterms:W3CDTF">2025-11-11T16:38:17Z</dcterms:created>
  <dcterms:modified xsi:type="dcterms:W3CDTF">2025-11-23T17:22:55Z</dcterms:modified>
</cp:coreProperties>
</file>